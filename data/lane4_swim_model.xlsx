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Swimmer_Calcs" sheetId="1" state="visible" r:id="rId1"/>
    <sheet xmlns:r="http://schemas.openxmlformats.org/officeDocument/2006/relationships" name="Sheet1" sheetId="2" state="visible" r:id="rId2"/>
    <sheet xmlns:r="http://schemas.openxmlformats.org/officeDocument/2006/relationships" name="Team_Tier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0.000"/>
    <numFmt numFmtId="165" formatCode="0.0"/>
    <numFmt numFmtId="166" formatCode="0.0000"/>
  </numFmts>
  <fonts count="4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b val="1"/>
    </font>
    <font>
      <b val="1"/>
      <sz val="14"/>
    </font>
  </fonts>
  <fills count="6">
    <fill>
      <patternFill/>
    </fill>
    <fill>
      <patternFill patternType="gray125"/>
    </fill>
    <fill>
      <patternFill patternType="solid">
        <fgColor rgb="FFF2F2F2"/>
        <bgColor rgb="FFF2F2F2"/>
      </patternFill>
    </fill>
    <fill>
      <patternFill patternType="solid">
        <fgColor rgb="FFEFEFEF"/>
        <bgColor rgb="FFEFEFEF"/>
      </patternFill>
    </fill>
    <fill>
      <patternFill patternType="solid">
        <fgColor rgb="00D9E1F2"/>
      </patternFill>
    </fill>
    <fill>
      <patternFill patternType="solid">
        <fgColor rgb="00FFF2CC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1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0" borderId="0" applyAlignment="1" pivotButton="0" quotePrefix="0" xfId="0">
      <alignment horizontal="center"/>
    </xf>
    <xf numFmtId="0" fontId="0" fillId="2" borderId="0" pivotButton="0" quotePrefix="0" xfId="0"/>
    <xf numFmtId="0" fontId="0" fillId="2" borderId="0" applyAlignment="1" pivotButton="0" quotePrefix="0" xfId="0">
      <alignment horizontal="center"/>
    </xf>
    <xf numFmtId="0" fontId="2" fillId="3" borderId="0" applyAlignment="1" pivotButton="0" quotePrefix="0" xfId="0">
      <alignment horizontal="center"/>
    </xf>
    <xf numFmtId="0" fontId="0" fillId="0" borderId="0" applyAlignment="1" pivotButton="0" quotePrefix="0" xfId="0">
      <alignment horizontal="left"/>
    </xf>
    <xf numFmtId="0" fontId="1" fillId="0" borderId="0" applyAlignment="1" pivotButton="0" quotePrefix="0" xfId="0">
      <alignment horizontal="center" vertical="top"/>
    </xf>
    <xf numFmtId="2" fontId="0" fillId="0" borderId="0" pivotButton="0" quotePrefix="0" xfId="0"/>
    <xf numFmtId="164" fontId="0" fillId="0" borderId="0" pivotButton="0" quotePrefix="0" xfId="0"/>
    <xf numFmtId="0" fontId="3" fillId="0" borderId="0" pivotButton="0" quotePrefix="0" xfId="0"/>
    <xf numFmtId="0" fontId="0" fillId="0" borderId="0" applyAlignment="1" pivotButton="0" quotePrefix="0" xfId="0">
      <alignment wrapText="1"/>
    </xf>
    <xf numFmtId="0" fontId="2" fillId="4" borderId="0" applyAlignment="1" pivotButton="0" quotePrefix="0" xfId="0">
      <alignment horizontal="center"/>
    </xf>
    <xf numFmtId="165" fontId="0" fillId="0" borderId="0" pivotButton="0" quotePrefix="0" xfId="0"/>
    <xf numFmtId="0" fontId="2" fillId="5" borderId="0" applyAlignment="1" pivotButton="0" quotePrefix="0" xfId="0">
      <alignment horizontal="right"/>
    </xf>
    <xf numFmtId="165" fontId="2" fillId="5" borderId="0" pivotButton="0" quotePrefix="0" xfId="0"/>
    <xf numFmtId="0" fontId="2" fillId="5" borderId="0" pivotButton="0" quotePrefix="0" xfId="0"/>
    <xf numFmtId="0" fontId="2" fillId="0" borderId="0" applyAlignment="1" pivotButton="0" quotePrefix="0" xfId="0">
      <alignment horizontal="center"/>
    </xf>
    <xf numFmtId="0" fontId="2" fillId="0" borderId="0" applyAlignment="1" pivotButton="0" quotePrefix="0" xfId="0">
      <alignment horizontal="center" vertical="top"/>
    </xf>
    <xf numFmtId="165" fontId="0" fillId="0" borderId="0" applyAlignment="1" pivotButton="0" quotePrefix="0" xfId="0">
      <alignment horizontal="center"/>
    </xf>
    <xf numFmtId="166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6"/>
  <sheetViews>
    <sheetView workbookViewId="0">
      <pane ySplit="8" topLeftCell="A9" activePane="bottomLeft" state="frozen"/>
      <selection pane="bottomLeft" activeCell="A1" sqref="A1"/>
    </sheetView>
  </sheetViews>
  <sheetFormatPr baseColWidth="8" defaultRowHeight="15"/>
  <cols>
    <col width="22" customWidth="1" min="1" max="1"/>
    <col width="14" customWidth="1" min="2" max="2"/>
    <col width="12" customWidth="1" min="3" max="3"/>
    <col width="10" customWidth="1" min="4" max="4"/>
    <col width="10" customWidth="1" min="5" max="5"/>
    <col width="10" customWidth="1" min="6" max="6"/>
    <col width="12" customWidth="1" min="7" max="7"/>
    <col width="10" customWidth="1" min="8" max="8"/>
    <col width="10" customWidth="1" min="9" max="9"/>
    <col width="10" customWidth="1" min="10" max="10"/>
    <col width="10" customWidth="1" min="11" max="11"/>
  </cols>
  <sheetData>
    <row r="1">
      <c r="A1" s="10" t="inlineStr">
        <is>
          <t>Swimmer Recruiting Calculator (Template)</t>
        </is>
      </c>
    </row>
    <row r="3">
      <c r="A3" t="inlineStr">
        <is>
          <t>Conference (type exactly):</t>
        </is>
      </c>
    </row>
    <row r="4">
      <c r="A4" t="inlineStr">
        <is>
          <t>Optional: Team Tier (1-4):</t>
        </is>
      </c>
    </row>
    <row r="5">
      <c r="A5" t="inlineStr">
        <is>
          <t>Optional: School (type exactly):</t>
        </is>
      </c>
    </row>
    <row r="6">
      <c r="A6" s="11" t="inlineStr">
        <is>
          <t>Enter events you swim + your best time (SCY). The sheet estimates conference place + points using last conference anchors (1st/8th/16th). Points are confidence-weighted near the scoring bubble.</t>
        </is>
      </c>
    </row>
    <row r="8">
      <c r="A8" s="12" t="inlineStr">
        <is>
          <t>Event</t>
        </is>
      </c>
      <c r="B8" s="12" t="inlineStr">
        <is>
          <t>Swimmer Time</t>
        </is>
      </c>
      <c r="C8" s="12" t="inlineStr">
        <is>
          <t>Swimmer_sec</t>
        </is>
      </c>
      <c r="D8" s="12" t="inlineStr">
        <is>
          <t>1st_sec</t>
        </is>
      </c>
      <c r="E8" s="12" t="inlineStr">
        <is>
          <t>8th_sec</t>
        </is>
      </c>
      <c r="F8" s="12" t="inlineStr">
        <is>
          <t>16th_sec</t>
        </is>
      </c>
      <c r="G8" s="12" t="inlineStr">
        <is>
          <t>Sec_per_place</t>
        </is>
      </c>
      <c r="H8" s="12" t="inlineStr">
        <is>
          <t>EstPlace</t>
        </is>
      </c>
      <c r="I8" s="12" t="inlineStr">
        <is>
          <t>ExpPoints</t>
        </is>
      </c>
      <c r="J8" s="12" t="inlineStr">
        <is>
          <t>Confidence</t>
        </is>
      </c>
      <c r="K8" s="12" t="inlineStr">
        <is>
          <t>AdjPoints</t>
        </is>
      </c>
    </row>
    <row r="9">
      <c r="C9" s="8">
        <f>IF(B9="","",IF(ISNUMBER(SEARCH(":",B9)),60*VALUE(LEFT(B9,FIND(":",B9)-1))+VALUE(MID(B9,FIND(":",B9)+1,99)),VALUE(B9)))</f>
        <v/>
      </c>
      <c r="D9" s="9">
        <f>IFERROR(VLOOKUP($B$3&amp;"|"&amp;A9,Sheet1!$K$2:$O$128,2,FALSE),"")</f>
        <v/>
      </c>
      <c r="E9" s="9">
        <f>IFERROR(VLOOKUP($B$3&amp;"|"&amp;A9,Sheet1!$K$2:$O$128,3,FALSE),"")</f>
        <v/>
      </c>
      <c r="F9" s="9">
        <f>IFERROR(VLOOKUP($B$3&amp;"|"&amp;A9,Sheet1!$K$2:$O$128,4,FALSE),"")</f>
        <v/>
      </c>
      <c r="G9" s="9">
        <f>IFERROR(VLOOKUP($B$3&amp;"|"&amp;A9,Sheet1!$K$2:$O$128,5,FALSE),"")</f>
        <v/>
      </c>
      <c r="H9" s="13">
        <f>IF(OR(C9="",D9="",E9="",F9="",G9=""),"",IF(C9&lt;=D9,1,IF(C9&lt;=E9,1+(C9-D9)/(E9-D9)*7,IF(C9&lt;=F9,8+(C9-E9)/(F9-E9)*8,16+(C9-F9)/G9))))</f>
        <v/>
      </c>
      <c r="I9" s="13">
        <f>IF(H9="","",MAX(0,MIN(20,21-H9)))</f>
        <v/>
      </c>
      <c r="J9" s="8">
        <f>IF(H9="","",IF(H9&lt;=12,1,IF(H9&lt;=14,0.85,IF(H9&lt;=16,0.65,0))))</f>
        <v/>
      </c>
      <c r="K9" s="13">
        <f>IF(I9="","",I9*J9)</f>
        <v/>
      </c>
    </row>
    <row r="10">
      <c r="C10" s="8">
        <f>IF(B10="","",IF(ISNUMBER(SEARCH(":",B10)),60*VALUE(LEFT(B10,FIND(":",B10)-1))+VALUE(MID(B10,FIND(":",B10)+1,99)),VALUE(B10)))</f>
        <v/>
      </c>
      <c r="D10" s="9">
        <f>IFERROR(VLOOKUP($B$3&amp;"|"&amp;A10,Sheet1!$K$2:$O$128,2,FALSE),"")</f>
        <v/>
      </c>
      <c r="E10" s="9">
        <f>IFERROR(VLOOKUP($B$3&amp;"|"&amp;A10,Sheet1!$K$2:$O$128,3,FALSE),"")</f>
        <v/>
      </c>
      <c r="F10" s="9">
        <f>IFERROR(VLOOKUP($B$3&amp;"|"&amp;A10,Sheet1!$K$2:$O$128,4,FALSE),"")</f>
        <v/>
      </c>
      <c r="G10" s="9">
        <f>IFERROR(VLOOKUP($B$3&amp;"|"&amp;A10,Sheet1!$K$2:$O$128,5,FALSE),"")</f>
        <v/>
      </c>
      <c r="H10" s="13">
        <f>IF(OR(C10="",D10="",E10="",F10="",G10=""),"",IF(C10&lt;=D10,1,IF(C10&lt;=E10,1+(C10-D10)/(E10-D10)*7,IF(C10&lt;=F10,8+(C10-E10)/(F10-E10)*8,16+(C10-F10)/G10))))</f>
        <v/>
      </c>
      <c r="I10" s="13">
        <f>IF(H10="","",MAX(0,MIN(20,21-H10)))</f>
        <v/>
      </c>
      <c r="J10" s="8">
        <f>IF(H10="","",IF(H10&lt;=12,1,IF(H10&lt;=14,0.85,IF(H10&lt;=16,0.65,0))))</f>
        <v/>
      </c>
      <c r="K10" s="13">
        <f>IF(I10="","",I10*J10)</f>
        <v/>
      </c>
    </row>
    <row r="11">
      <c r="C11" s="8">
        <f>IF(B11="","",IF(ISNUMBER(SEARCH(":",B11)),60*VALUE(LEFT(B11,FIND(":",B11)-1))+VALUE(MID(B11,FIND(":",B11)+1,99)),VALUE(B11)))</f>
        <v/>
      </c>
      <c r="D11" s="9">
        <f>IFERROR(VLOOKUP($B$3&amp;"|"&amp;A11,Sheet1!$K$2:$O$128,2,FALSE),"")</f>
        <v/>
      </c>
      <c r="E11" s="9">
        <f>IFERROR(VLOOKUP($B$3&amp;"|"&amp;A11,Sheet1!$K$2:$O$128,3,FALSE),"")</f>
        <v/>
      </c>
      <c r="F11" s="9">
        <f>IFERROR(VLOOKUP($B$3&amp;"|"&amp;A11,Sheet1!$K$2:$O$128,4,FALSE),"")</f>
        <v/>
      </c>
      <c r="G11" s="9">
        <f>IFERROR(VLOOKUP($B$3&amp;"|"&amp;A11,Sheet1!$K$2:$O$128,5,FALSE),"")</f>
        <v/>
      </c>
      <c r="H11" s="13">
        <f>IF(OR(C11="",D11="",E11="",F11="",G11=""),"",IF(C11&lt;=D11,1,IF(C11&lt;=E11,1+(C11-D11)/(E11-D11)*7,IF(C11&lt;=F11,8+(C11-E11)/(F11-E11)*8,16+(C11-F11)/G11))))</f>
        <v/>
      </c>
      <c r="I11" s="13">
        <f>IF(H11="","",MAX(0,MIN(20,21-H11)))</f>
        <v/>
      </c>
      <c r="J11" s="8">
        <f>IF(H11="","",IF(H11&lt;=12,1,IF(H11&lt;=14,0.85,IF(H11&lt;=16,0.65,0))))</f>
        <v/>
      </c>
      <c r="K11" s="13">
        <f>IF(I11="","",I11*J11)</f>
        <v/>
      </c>
    </row>
    <row r="12">
      <c r="C12" s="8">
        <f>IF(B12="","",IF(ISNUMBER(SEARCH(":",B12)),60*VALUE(LEFT(B12,FIND(":",B12)-1))+VALUE(MID(B12,FIND(":",B12)+1,99)),VALUE(B12)))</f>
        <v/>
      </c>
      <c r="D12" s="9">
        <f>IFERROR(VLOOKUP($B$3&amp;"|"&amp;A12,Sheet1!$K$2:$O$128,2,FALSE),"")</f>
        <v/>
      </c>
      <c r="E12" s="9">
        <f>IFERROR(VLOOKUP($B$3&amp;"|"&amp;A12,Sheet1!$K$2:$O$128,3,FALSE),"")</f>
        <v/>
      </c>
      <c r="F12" s="9">
        <f>IFERROR(VLOOKUP($B$3&amp;"|"&amp;A12,Sheet1!$K$2:$O$128,4,FALSE),"")</f>
        <v/>
      </c>
      <c r="G12" s="9">
        <f>IFERROR(VLOOKUP($B$3&amp;"|"&amp;A12,Sheet1!$K$2:$O$128,5,FALSE),"")</f>
        <v/>
      </c>
      <c r="H12" s="13">
        <f>IF(OR(C12="",D12="",E12="",F12="",G12=""),"",IF(C12&lt;=D12,1,IF(C12&lt;=E12,1+(C12-D12)/(E12-D12)*7,IF(C12&lt;=F12,8+(C12-E12)/(F12-E12)*8,16+(C12-F12)/G12))))</f>
        <v/>
      </c>
      <c r="I12" s="13">
        <f>IF(H12="","",MAX(0,MIN(20,21-H12)))</f>
        <v/>
      </c>
      <c r="J12" s="8">
        <f>IF(H12="","",IF(H12&lt;=12,1,IF(H12&lt;=14,0.85,IF(H12&lt;=16,0.65,0))))</f>
        <v/>
      </c>
      <c r="K12" s="13">
        <f>IF(I12="","",I12*J12)</f>
        <v/>
      </c>
    </row>
    <row r="13">
      <c r="C13" s="8">
        <f>IF(B13="","",IF(ISNUMBER(SEARCH(":",B13)),60*VALUE(LEFT(B13,FIND(":",B13)-1))+VALUE(MID(B13,FIND(":",B13)+1,99)),VALUE(B13)))</f>
        <v/>
      </c>
      <c r="D13" s="9">
        <f>IFERROR(VLOOKUP($B$3&amp;"|"&amp;A13,Sheet1!$K$2:$O$128,2,FALSE),"")</f>
        <v/>
      </c>
      <c r="E13" s="9">
        <f>IFERROR(VLOOKUP($B$3&amp;"|"&amp;A13,Sheet1!$K$2:$O$128,3,FALSE),"")</f>
        <v/>
      </c>
      <c r="F13" s="9">
        <f>IFERROR(VLOOKUP($B$3&amp;"|"&amp;A13,Sheet1!$K$2:$O$128,4,FALSE),"")</f>
        <v/>
      </c>
      <c r="G13" s="9">
        <f>IFERROR(VLOOKUP($B$3&amp;"|"&amp;A13,Sheet1!$K$2:$O$128,5,FALSE),"")</f>
        <v/>
      </c>
      <c r="H13" s="13">
        <f>IF(OR(C13="",D13="",E13="",F13="",G13=""),"",IF(C13&lt;=D13,1,IF(C13&lt;=E13,1+(C13-D13)/(E13-D13)*7,IF(C13&lt;=F13,8+(C13-E13)/(F13-E13)*8,16+(C13-F13)/G13))))</f>
        <v/>
      </c>
      <c r="I13" s="13">
        <f>IF(H13="","",MAX(0,MIN(20,21-H13)))</f>
        <v/>
      </c>
      <c r="J13" s="8">
        <f>IF(H13="","",IF(H13&lt;=12,1,IF(H13&lt;=14,0.85,IF(H13&lt;=16,0.65,0))))</f>
        <v/>
      </c>
      <c r="K13" s="13">
        <f>IF(I13="","",I13*J13)</f>
        <v/>
      </c>
    </row>
    <row r="14">
      <c r="C14" s="8">
        <f>IF(B14="","",IF(ISNUMBER(SEARCH(":",B14)),60*VALUE(LEFT(B14,FIND(":",B14)-1))+VALUE(MID(B14,FIND(":",B14)+1,99)),VALUE(B14)))</f>
        <v/>
      </c>
      <c r="D14" s="9">
        <f>IFERROR(VLOOKUP($B$3&amp;"|"&amp;A14,Sheet1!$K$2:$O$128,2,FALSE),"")</f>
        <v/>
      </c>
      <c r="E14" s="9">
        <f>IFERROR(VLOOKUP($B$3&amp;"|"&amp;A14,Sheet1!$K$2:$O$128,3,FALSE),"")</f>
        <v/>
      </c>
      <c r="F14" s="9">
        <f>IFERROR(VLOOKUP($B$3&amp;"|"&amp;A14,Sheet1!$K$2:$O$128,4,FALSE),"")</f>
        <v/>
      </c>
      <c r="G14" s="9">
        <f>IFERROR(VLOOKUP($B$3&amp;"|"&amp;A14,Sheet1!$K$2:$O$128,5,FALSE),"")</f>
        <v/>
      </c>
      <c r="H14" s="13">
        <f>IF(OR(C14="",D14="",E14="",F14="",G14=""),"",IF(C14&lt;=D14,1,IF(C14&lt;=E14,1+(C14-D14)/(E14-D14)*7,IF(C14&lt;=F14,8+(C14-E14)/(F14-E14)*8,16+(C14-F14)/G14))))</f>
        <v/>
      </c>
      <c r="I14" s="13">
        <f>IF(H14="","",MAX(0,MIN(20,21-H14)))</f>
        <v/>
      </c>
      <c r="J14" s="8">
        <f>IF(H14="","",IF(H14&lt;=12,1,IF(H14&lt;=14,0.85,IF(H14&lt;=16,0.65,0))))</f>
        <v/>
      </c>
      <c r="K14" s="13">
        <f>IF(I14="","",I14*J14)</f>
        <v/>
      </c>
    </row>
    <row r="15">
      <c r="C15" s="8">
        <f>IF(B15="","",IF(ISNUMBER(SEARCH(":",B15)),60*VALUE(LEFT(B15,FIND(":",B15)-1))+VALUE(MID(B15,FIND(":",B15)+1,99)),VALUE(B15)))</f>
        <v/>
      </c>
      <c r="D15" s="9">
        <f>IFERROR(VLOOKUP($B$3&amp;"|"&amp;A15,Sheet1!$K$2:$O$128,2,FALSE),"")</f>
        <v/>
      </c>
      <c r="E15" s="9">
        <f>IFERROR(VLOOKUP($B$3&amp;"|"&amp;A15,Sheet1!$K$2:$O$128,3,FALSE),"")</f>
        <v/>
      </c>
      <c r="F15" s="9">
        <f>IFERROR(VLOOKUP($B$3&amp;"|"&amp;A15,Sheet1!$K$2:$O$128,4,FALSE),"")</f>
        <v/>
      </c>
      <c r="G15" s="9">
        <f>IFERROR(VLOOKUP($B$3&amp;"|"&amp;A15,Sheet1!$K$2:$O$128,5,FALSE),"")</f>
        <v/>
      </c>
      <c r="H15" s="13">
        <f>IF(OR(C15="",D15="",E15="",F15="",G15=""),"",IF(C15&lt;=D15,1,IF(C15&lt;=E15,1+(C15-D15)/(E15-D15)*7,IF(C15&lt;=F15,8+(C15-E15)/(F15-E15)*8,16+(C15-F15)/G15))))</f>
        <v/>
      </c>
      <c r="I15" s="13">
        <f>IF(H15="","",MAX(0,MIN(20,21-H15)))</f>
        <v/>
      </c>
      <c r="J15" s="8">
        <f>IF(H15="","",IF(H15&lt;=12,1,IF(H15&lt;=14,0.85,IF(H15&lt;=16,0.65,0))))</f>
        <v/>
      </c>
      <c r="K15" s="13">
        <f>IF(I15="","",I15*J15)</f>
        <v/>
      </c>
    </row>
    <row r="16">
      <c r="C16" s="8">
        <f>IF(B16="","",IF(ISNUMBER(SEARCH(":",B16)),60*VALUE(LEFT(B16,FIND(":",B16)-1))+VALUE(MID(B16,FIND(":",B16)+1,99)),VALUE(B16)))</f>
        <v/>
      </c>
      <c r="D16" s="9">
        <f>IFERROR(VLOOKUP($B$3&amp;"|"&amp;A16,Sheet1!$K$2:$O$128,2,FALSE),"")</f>
        <v/>
      </c>
      <c r="E16" s="9">
        <f>IFERROR(VLOOKUP($B$3&amp;"|"&amp;A16,Sheet1!$K$2:$O$128,3,FALSE),"")</f>
        <v/>
      </c>
      <c r="F16" s="9">
        <f>IFERROR(VLOOKUP($B$3&amp;"|"&amp;A16,Sheet1!$K$2:$O$128,4,FALSE),"")</f>
        <v/>
      </c>
      <c r="G16" s="9">
        <f>IFERROR(VLOOKUP($B$3&amp;"|"&amp;A16,Sheet1!$K$2:$O$128,5,FALSE),"")</f>
        <v/>
      </c>
      <c r="H16" s="13">
        <f>IF(OR(C16="",D16="",E16="",F16="",G16=""),"",IF(C16&lt;=D16,1,IF(C16&lt;=E16,1+(C16-D16)/(E16-D16)*7,IF(C16&lt;=F16,8+(C16-E16)/(F16-E16)*8,16+(C16-F16)/G16))))</f>
        <v/>
      </c>
      <c r="I16" s="13">
        <f>IF(H16="","",MAX(0,MIN(20,21-H16)))</f>
        <v/>
      </c>
      <c r="J16" s="8">
        <f>IF(H16="","",IF(H16&lt;=12,1,IF(H16&lt;=14,0.85,IF(H16&lt;=16,0.65,0))))</f>
        <v/>
      </c>
      <c r="K16" s="13">
        <f>IF(I16="","",I16*J16)</f>
        <v/>
      </c>
    </row>
    <row r="17">
      <c r="C17" s="8">
        <f>IF(B17="","",IF(ISNUMBER(SEARCH(":",B17)),60*VALUE(LEFT(B17,FIND(":",B17)-1))+VALUE(MID(B17,FIND(":",B17)+1,99)),VALUE(B17)))</f>
        <v/>
      </c>
      <c r="D17" s="9">
        <f>IFERROR(VLOOKUP($B$3&amp;"|"&amp;A17,Sheet1!$K$2:$O$128,2,FALSE),"")</f>
        <v/>
      </c>
      <c r="E17" s="9">
        <f>IFERROR(VLOOKUP($B$3&amp;"|"&amp;A17,Sheet1!$K$2:$O$128,3,FALSE),"")</f>
        <v/>
      </c>
      <c r="F17" s="9">
        <f>IFERROR(VLOOKUP($B$3&amp;"|"&amp;A17,Sheet1!$K$2:$O$128,4,FALSE),"")</f>
        <v/>
      </c>
      <c r="G17" s="9">
        <f>IFERROR(VLOOKUP($B$3&amp;"|"&amp;A17,Sheet1!$K$2:$O$128,5,FALSE),"")</f>
        <v/>
      </c>
      <c r="H17" s="13">
        <f>IF(OR(C17="",D17="",E17="",F17="",G17=""),"",IF(C17&lt;=D17,1,IF(C17&lt;=E17,1+(C17-D17)/(E17-D17)*7,IF(C17&lt;=F17,8+(C17-E17)/(F17-E17)*8,16+(C17-F17)/G17))))</f>
        <v/>
      </c>
      <c r="I17" s="13">
        <f>IF(H17="","",MAX(0,MIN(20,21-H17)))</f>
        <v/>
      </c>
      <c r="J17" s="8">
        <f>IF(H17="","",IF(H17&lt;=12,1,IF(H17&lt;=14,0.85,IF(H17&lt;=16,0.65,0))))</f>
        <v/>
      </c>
      <c r="K17" s="13">
        <f>IF(I17="","",I17*J17)</f>
        <v/>
      </c>
    </row>
    <row r="18">
      <c r="C18" s="8">
        <f>IF(B18="","",IF(ISNUMBER(SEARCH(":",B18)),60*VALUE(LEFT(B18,FIND(":",B18)-1))+VALUE(MID(B18,FIND(":",B18)+1,99)),VALUE(B18)))</f>
        <v/>
      </c>
      <c r="D18" s="9">
        <f>IFERROR(VLOOKUP($B$3&amp;"|"&amp;A18,Sheet1!$K$2:$O$128,2,FALSE),"")</f>
        <v/>
      </c>
      <c r="E18" s="9">
        <f>IFERROR(VLOOKUP($B$3&amp;"|"&amp;A18,Sheet1!$K$2:$O$128,3,FALSE),"")</f>
        <v/>
      </c>
      <c r="F18" s="9">
        <f>IFERROR(VLOOKUP($B$3&amp;"|"&amp;A18,Sheet1!$K$2:$O$128,4,FALSE),"")</f>
        <v/>
      </c>
      <c r="G18" s="9">
        <f>IFERROR(VLOOKUP($B$3&amp;"|"&amp;A18,Sheet1!$K$2:$O$128,5,FALSE),"")</f>
        <v/>
      </c>
      <c r="H18" s="13">
        <f>IF(OR(C18="",D18="",E18="",F18="",G18=""),"",IF(C18&lt;=D18,1,IF(C18&lt;=E18,1+(C18-D18)/(E18-D18)*7,IF(C18&lt;=F18,8+(C18-E18)/(F18-E18)*8,16+(C18-F18)/G18))))</f>
        <v/>
      </c>
      <c r="I18" s="13">
        <f>IF(H18="","",MAX(0,MIN(20,21-H18)))</f>
        <v/>
      </c>
      <c r="J18" s="8">
        <f>IF(H18="","",IF(H18&lt;=12,1,IF(H18&lt;=14,0.85,IF(H18&lt;=16,0.65,0))))</f>
        <v/>
      </c>
      <c r="K18" s="13">
        <f>IF(I18="","",I18*J18)</f>
        <v/>
      </c>
    </row>
    <row r="19">
      <c r="C19" s="8">
        <f>IF(B19="","",IF(ISNUMBER(SEARCH(":",B19)),60*VALUE(LEFT(B19,FIND(":",B19)-1))+VALUE(MID(B19,FIND(":",B19)+1,99)),VALUE(B19)))</f>
        <v/>
      </c>
      <c r="D19" s="9">
        <f>IFERROR(VLOOKUP($B$3&amp;"|"&amp;A19,Sheet1!$K$2:$O$128,2,FALSE),"")</f>
        <v/>
      </c>
      <c r="E19" s="9">
        <f>IFERROR(VLOOKUP($B$3&amp;"|"&amp;A19,Sheet1!$K$2:$O$128,3,FALSE),"")</f>
        <v/>
      </c>
      <c r="F19" s="9">
        <f>IFERROR(VLOOKUP($B$3&amp;"|"&amp;A19,Sheet1!$K$2:$O$128,4,FALSE),"")</f>
        <v/>
      </c>
      <c r="G19" s="9">
        <f>IFERROR(VLOOKUP($B$3&amp;"|"&amp;A19,Sheet1!$K$2:$O$128,5,FALSE),"")</f>
        <v/>
      </c>
      <c r="H19" s="13">
        <f>IF(OR(C19="",D19="",E19="",F19="",G19=""),"",IF(C19&lt;=D19,1,IF(C19&lt;=E19,1+(C19-D19)/(E19-D19)*7,IF(C19&lt;=F19,8+(C19-E19)/(F19-E19)*8,16+(C19-F19)/G19))))</f>
        <v/>
      </c>
      <c r="I19" s="13">
        <f>IF(H19="","",MAX(0,MIN(20,21-H19)))</f>
        <v/>
      </c>
      <c r="J19" s="8">
        <f>IF(H19="","",IF(H19&lt;=12,1,IF(H19&lt;=14,0.85,IF(H19&lt;=16,0.65,0))))</f>
        <v/>
      </c>
      <c r="K19" s="13">
        <f>IF(I19="","",I19*J19)</f>
        <v/>
      </c>
    </row>
    <row r="20">
      <c r="C20" s="8">
        <f>IF(B20="","",IF(ISNUMBER(SEARCH(":",B20)),60*VALUE(LEFT(B20,FIND(":",B20)-1))+VALUE(MID(B20,FIND(":",B20)+1,99)),VALUE(B20)))</f>
        <v/>
      </c>
      <c r="D20" s="9">
        <f>IFERROR(VLOOKUP($B$3&amp;"|"&amp;A20,Sheet1!$K$2:$O$128,2,FALSE),"")</f>
        <v/>
      </c>
      <c r="E20" s="9">
        <f>IFERROR(VLOOKUP($B$3&amp;"|"&amp;A20,Sheet1!$K$2:$O$128,3,FALSE),"")</f>
        <v/>
      </c>
      <c r="F20" s="9">
        <f>IFERROR(VLOOKUP($B$3&amp;"|"&amp;A20,Sheet1!$K$2:$O$128,4,FALSE),"")</f>
        <v/>
      </c>
      <c r="G20" s="9">
        <f>IFERROR(VLOOKUP($B$3&amp;"|"&amp;A20,Sheet1!$K$2:$O$128,5,FALSE),"")</f>
        <v/>
      </c>
      <c r="H20" s="13">
        <f>IF(OR(C20="",D20="",E20="",F20="",G20=""),"",IF(C20&lt;=D20,1,IF(C20&lt;=E20,1+(C20-D20)/(E20-D20)*7,IF(C20&lt;=F20,8+(C20-E20)/(F20-E20)*8,16+(C20-F20)/G20))))</f>
        <v/>
      </c>
      <c r="I20" s="13">
        <f>IF(H20="","",MAX(0,MIN(20,21-H20)))</f>
        <v/>
      </c>
      <c r="J20" s="8">
        <f>IF(H20="","",IF(H20&lt;=12,1,IF(H20&lt;=14,0.85,IF(H20&lt;=16,0.65,0))))</f>
        <v/>
      </c>
      <c r="K20" s="13">
        <f>IF(I20="","",I20*J20)</f>
        <v/>
      </c>
    </row>
    <row r="23">
      <c r="H23" s="14" t="inlineStr">
        <is>
          <t>Top-3 Adjusted Points</t>
        </is>
      </c>
      <c r="I23" s="15">
        <f>SUM(IFERROR(LARGE(K9:K20,1),0),IFERROR(LARGE(K9:K20,2),0),IFERROR(LARGE(K9:K20,3),0))</f>
        <v/>
      </c>
    </row>
    <row r="24">
      <c r="H24" s="14" t="inlineStr">
        <is>
          <t>Conference Recruitability</t>
        </is>
      </c>
      <c r="I24" s="16">
        <f>IF(I23&lt;1,"Moonshot",IF(I23&lt;4,"Reach",IF(I23&lt;10,"Recruitable",IF(I23&lt;18,"Priority Recruit",IF(I23&lt;35,"Likely Commit",IF(I23&lt;50,"Conference Star","High-Point Contender"))))))))</f>
        <v/>
      </c>
    </row>
    <row r="25">
      <c r="H25" s="14" t="inlineStr">
        <is>
          <t>At This Team (Tier Adjusted)</t>
        </is>
      </c>
      <c r="I25" s="16">
        <f>IF(AND($B$4="",$B$5=""),I24,IF(I26&lt;1,"Moonshot",IF(I26&lt;4,"Reach",IF(I26&lt;10,"Recruitable",IF(I26&lt;18,"Priority Recruit",IF(I26&lt;35,"Likely Commit",IF(I26&lt;50,"Conference Star","High-Point Contender"))))))))</f>
        <v/>
      </c>
    </row>
    <row r="26">
      <c r="H26" t="inlineStr">
        <is>
          <t>Program-Adjusted Points</t>
        </is>
      </c>
      <c r="I26">
        <f>I23*IF($B$5&lt;&gt;"",IFERROR(VLOOKUP($B$3&amp;"|"&amp;$B$5,Team_Tiers!$G$2:$L$200,6,FALSE),1),IF($B$4="",1,IF($B$4=1,IF(IFERROR(VLOOKUP($B$3,Team_Tiers!$N$2:$O$50,2,FALSE),0)&gt;2.3,0.70,IF(IFERROR(VLOOKUP($B$3,Team_Tiers!$N$2:$O$50,2,FALSE),0)&gt;=1.8,0.78,0.85)),IF($B$4=2,1,IF($B$4=3,1.1,IF($B$4=4,1.2,1))))))</f>
        <v/>
      </c>
    </row>
  </sheetData>
  <mergeCells count="2">
    <mergeCell ref="A6:K6"/>
    <mergeCell ref="A1:K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128"/>
  <sheetViews>
    <sheetView tabSelected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20" customWidth="1" min="2" max="2"/>
    <col width="12" customWidth="1" min="3" max="3"/>
    <col width="12" customWidth="1" min="4" max="4"/>
    <col width="12" customWidth="1" min="5" max="5"/>
    <col width="10" customWidth="1" min="6" max="6"/>
    <col width="10" customWidth="1" min="7" max="7"/>
    <col width="10" customWidth="1" min="8" max="8"/>
    <col width="10" customWidth="1" min="9" max="9"/>
    <col width="12" customWidth="1" min="10" max="10"/>
    <col width="30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1" t="inlineStr">
        <is>
          <t>Conference</t>
        </is>
      </c>
      <c r="B1" s="1" t="inlineStr">
        <is>
          <t>Event</t>
        </is>
      </c>
      <c r="C1" s="1" t="inlineStr">
        <is>
          <t>1st</t>
        </is>
      </c>
      <c r="D1" s="1" t="inlineStr">
        <is>
          <t>8th</t>
        </is>
      </c>
      <c r="E1" s="1" t="inlineStr">
        <is>
          <t>16th</t>
        </is>
      </c>
      <c r="F1" s="18" t="inlineStr">
        <is>
          <t>1st_sec</t>
        </is>
      </c>
      <c r="G1" s="18" t="inlineStr">
        <is>
          <t>8th_sec</t>
        </is>
      </c>
      <c r="H1" s="18" t="inlineStr">
        <is>
          <t>16th_sec</t>
        </is>
      </c>
      <c r="I1" s="18" t="inlineStr">
        <is>
          <t>Gap_8_16</t>
        </is>
      </c>
      <c r="J1" s="18" t="inlineStr">
        <is>
          <t>Sec_per_place</t>
        </is>
      </c>
      <c r="K1" s="17" t="inlineStr">
        <is>
          <t>Key</t>
        </is>
      </c>
      <c r="L1" s="17" t="inlineStr">
        <is>
          <t>LU_1st_sec</t>
        </is>
      </c>
      <c r="M1" s="17" t="inlineStr">
        <is>
          <t>LU_8th_sec</t>
        </is>
      </c>
      <c r="N1" s="17" t="inlineStr">
        <is>
          <t>LU_16th_sec</t>
        </is>
      </c>
      <c r="O1" s="17" t="inlineStr">
        <is>
          <t>LU_Sec_per_place</t>
        </is>
      </c>
    </row>
    <row r="2">
      <c r="A2" s="3" t="inlineStr">
        <is>
          <t>Liberty League</t>
        </is>
      </c>
      <c r="B2" s="3" t="inlineStr">
        <is>
          <t>50 Free</t>
        </is>
      </c>
      <c r="C2" s="4" t="inlineStr">
        <is>
          <t>20.41</t>
        </is>
      </c>
      <c r="D2" s="4" t="inlineStr">
        <is>
          <t>21.17</t>
        </is>
      </c>
      <c r="E2" s="4" t="inlineStr">
        <is>
          <t>22.03</t>
        </is>
      </c>
      <c r="F2" s="8" t="n">
        <v>20.41</v>
      </c>
      <c r="G2" s="8" t="n">
        <v>21.17</v>
      </c>
      <c r="H2" s="8" t="n">
        <v>22.03</v>
      </c>
      <c r="I2" s="8" t="n">
        <v>0.8599999999999994</v>
      </c>
      <c r="J2" s="8" t="n">
        <v>0.1074999999999999</v>
      </c>
      <c r="K2" t="inlineStr">
        <is>
          <t>Liberty League|50 Free</t>
        </is>
      </c>
      <c r="L2" t="n">
        <v>20.41</v>
      </c>
      <c r="M2" t="n">
        <v>21.17</v>
      </c>
      <c r="N2" t="n">
        <v>22.03</v>
      </c>
      <c r="O2" t="n">
        <v>0.1074999999999999</v>
      </c>
    </row>
    <row r="3">
      <c r="A3" s="3" t="inlineStr">
        <is>
          <t>Liberty League</t>
        </is>
      </c>
      <c r="B3" s="3" t="inlineStr">
        <is>
          <t>100 Free</t>
        </is>
      </c>
      <c r="C3" s="4" t="inlineStr">
        <is>
          <t>44.88</t>
        </is>
      </c>
      <c r="D3" s="4" t="inlineStr">
        <is>
          <t>46.59</t>
        </is>
      </c>
      <c r="E3" s="4" t="inlineStr">
        <is>
          <t>48.05</t>
        </is>
      </c>
      <c r="F3" s="8" t="n">
        <v>44.88</v>
      </c>
      <c r="G3" s="8" t="n">
        <v>46.59</v>
      </c>
      <c r="H3" s="8" t="n">
        <v>48.05</v>
      </c>
      <c r="I3" s="8" t="n">
        <v>1.459999999999994</v>
      </c>
      <c r="J3" s="8" t="n">
        <v>0.1824999999999992</v>
      </c>
      <c r="K3" t="inlineStr">
        <is>
          <t>Liberty League|100 Free</t>
        </is>
      </c>
      <c r="L3" t="n">
        <v>44.88</v>
      </c>
      <c r="M3" t="n">
        <v>46.59</v>
      </c>
      <c r="N3" t="n">
        <v>48.05</v>
      </c>
      <c r="O3" t="n">
        <v>0.1824999999999992</v>
      </c>
    </row>
    <row r="4">
      <c r="A4" s="3" t="inlineStr">
        <is>
          <t>Liberty League</t>
        </is>
      </c>
      <c r="B4" s="3" t="inlineStr">
        <is>
          <t>200 Free</t>
        </is>
      </c>
      <c r="C4" s="4" t="inlineStr">
        <is>
          <t>1:39.33</t>
        </is>
      </c>
      <c r="D4" s="4" t="inlineStr">
        <is>
          <t>1:42.62</t>
        </is>
      </c>
      <c r="E4" s="4" t="inlineStr">
        <is>
          <t>1:45.27</t>
        </is>
      </c>
      <c r="F4" s="8" t="n">
        <v>99.33</v>
      </c>
      <c r="G4" s="8" t="n">
        <v>102.62</v>
      </c>
      <c r="H4" s="8" t="n">
        <v>105.27</v>
      </c>
      <c r="I4" s="8" t="n">
        <v>2.650000000000006</v>
      </c>
      <c r="J4" s="8" t="n">
        <v>0.3312500000000007</v>
      </c>
      <c r="K4" t="inlineStr">
        <is>
          <t>Liberty League|200 Free</t>
        </is>
      </c>
      <c r="L4" t="n">
        <v>99.33</v>
      </c>
      <c r="M4" t="n">
        <v>102.62</v>
      </c>
      <c r="N4" t="n">
        <v>105.27</v>
      </c>
      <c r="O4" t="n">
        <v>0.3312500000000007</v>
      </c>
    </row>
    <row r="5">
      <c r="A5" s="3" t="inlineStr">
        <is>
          <t>Liberty League</t>
        </is>
      </c>
      <c r="B5" s="3" t="inlineStr">
        <is>
          <t>500 Free</t>
        </is>
      </c>
      <c r="C5" s="4" t="inlineStr">
        <is>
          <t>4:31.98</t>
        </is>
      </c>
      <c r="D5" s="4" t="inlineStr">
        <is>
          <t>4:44.56</t>
        </is>
      </c>
      <c r="E5" s="4" t="inlineStr">
        <is>
          <t>5:03.42</t>
        </is>
      </c>
      <c r="F5" s="8" t="n">
        <v>271.98</v>
      </c>
      <c r="G5" s="8" t="n">
        <v>284.56</v>
      </c>
      <c r="H5" s="8" t="n">
        <v>303.42</v>
      </c>
      <c r="I5" s="8" t="n">
        <v>18.86000000000001</v>
      </c>
      <c r="J5" s="8" t="n">
        <v>2.357500000000002</v>
      </c>
      <c r="K5" t="inlineStr">
        <is>
          <t>Liberty League|500 Free</t>
        </is>
      </c>
      <c r="L5" t="n">
        <v>271.98</v>
      </c>
      <c r="M5" t="n">
        <v>284.56</v>
      </c>
      <c r="N5" t="n">
        <v>303.42</v>
      </c>
      <c r="O5" t="n">
        <v>2.357500000000002</v>
      </c>
    </row>
    <row r="6">
      <c r="A6" s="3" t="inlineStr">
        <is>
          <t>Liberty League</t>
        </is>
      </c>
      <c r="B6" s="3" t="inlineStr">
        <is>
          <t>1650 Free</t>
        </is>
      </c>
      <c r="C6" s="4" t="inlineStr">
        <is>
          <t>15:50.52</t>
        </is>
      </c>
      <c r="D6" s="4" t="inlineStr">
        <is>
          <t>16:45.39</t>
        </is>
      </c>
      <c r="E6" s="4" t="inlineStr">
        <is>
          <t>17:28.80</t>
        </is>
      </c>
      <c r="F6" s="8" t="n">
        <v>950.52</v>
      </c>
      <c r="G6" s="8" t="n">
        <v>1005.39</v>
      </c>
      <c r="H6" s="8" t="n">
        <v>1048.8</v>
      </c>
      <c r="I6" s="8" t="n">
        <v>43.40999999999997</v>
      </c>
      <c r="J6" s="8" t="n">
        <v>5.426249999999996</v>
      </c>
      <c r="K6" t="inlineStr">
        <is>
          <t>Liberty League|1650 Free</t>
        </is>
      </c>
      <c r="L6" t="n">
        <v>950.52</v>
      </c>
      <c r="M6" t="n">
        <v>1005.39</v>
      </c>
      <c r="N6" t="n">
        <v>1048.8</v>
      </c>
      <c r="O6" t="n">
        <v>5.426249999999996</v>
      </c>
    </row>
    <row r="7">
      <c r="A7" s="3" t="inlineStr">
        <is>
          <t>Liberty League</t>
        </is>
      </c>
      <c r="B7" s="3" t="inlineStr">
        <is>
          <t>100 Back</t>
        </is>
      </c>
      <c r="C7" s="4" t="inlineStr">
        <is>
          <t>48.95</t>
        </is>
      </c>
      <c r="D7" s="4" t="inlineStr">
        <is>
          <t>51.27</t>
        </is>
      </c>
      <c r="E7" s="4" t="inlineStr">
        <is>
          <t>53.98</t>
        </is>
      </c>
      <c r="F7" s="8" t="n">
        <v>48.95</v>
      </c>
      <c r="G7" s="8" t="n">
        <v>51.27</v>
      </c>
      <c r="H7" s="8" t="n">
        <v>53.98</v>
      </c>
      <c r="I7" s="8" t="n">
        <v>2.709999999999994</v>
      </c>
      <c r="J7" s="8" t="n">
        <v>0.3387499999999992</v>
      </c>
      <c r="K7" t="inlineStr">
        <is>
          <t>Liberty League|100 Back</t>
        </is>
      </c>
      <c r="L7" t="n">
        <v>48.95</v>
      </c>
      <c r="M7" t="n">
        <v>51.27</v>
      </c>
      <c r="N7" t="n">
        <v>53.98</v>
      </c>
      <c r="O7" t="n">
        <v>0.3387499999999992</v>
      </c>
    </row>
    <row r="8">
      <c r="A8" s="3" t="inlineStr">
        <is>
          <t>Liberty League</t>
        </is>
      </c>
      <c r="B8" s="3" t="inlineStr">
        <is>
          <t>200 Back</t>
        </is>
      </c>
      <c r="C8" s="4" t="inlineStr">
        <is>
          <t>1:47.11</t>
        </is>
      </c>
      <c r="D8" s="4" t="inlineStr">
        <is>
          <t>1:53.78</t>
        </is>
      </c>
      <c r="E8" s="4" t="inlineStr">
        <is>
          <t>1:59.62</t>
        </is>
      </c>
      <c r="F8" s="8" t="n">
        <v>107.11</v>
      </c>
      <c r="G8" s="8" t="n">
        <v>113.78</v>
      </c>
      <c r="H8" s="8" t="n">
        <v>119.62</v>
      </c>
      <c r="I8" s="8" t="n">
        <v>5.840000000000003</v>
      </c>
      <c r="J8" s="8" t="n">
        <v>0.7300000000000004</v>
      </c>
      <c r="K8" t="inlineStr">
        <is>
          <t>Liberty League|200 Back</t>
        </is>
      </c>
      <c r="L8" t="n">
        <v>107.11</v>
      </c>
      <c r="M8" t="n">
        <v>113.78</v>
      </c>
      <c r="N8" t="n">
        <v>119.62</v>
      </c>
      <c r="O8" t="n">
        <v>0.7300000000000004</v>
      </c>
    </row>
    <row r="9">
      <c r="A9" s="3" t="inlineStr">
        <is>
          <t>Liberty League</t>
        </is>
      </c>
      <c r="B9" s="3" t="inlineStr">
        <is>
          <t>100 Breast</t>
        </is>
      </c>
      <c r="C9" s="4" t="inlineStr">
        <is>
          <t>55.49</t>
        </is>
      </c>
      <c r="D9" s="4" t="inlineStr">
        <is>
          <t>57.88</t>
        </is>
      </c>
      <c r="E9" s="4" t="inlineStr">
        <is>
          <t>1:01.68</t>
        </is>
      </c>
      <c r="F9" s="8" t="n">
        <v>55.49</v>
      </c>
      <c r="G9" s="8" t="n">
        <v>57.88</v>
      </c>
      <c r="H9" s="8" t="n">
        <v>61.68</v>
      </c>
      <c r="I9" s="8" t="n">
        <v>3.799999999999997</v>
      </c>
      <c r="J9" s="8" t="n">
        <v>0.4749999999999996</v>
      </c>
      <c r="K9" t="inlineStr">
        <is>
          <t>Liberty League|100 Breast</t>
        </is>
      </c>
      <c r="L9" t="n">
        <v>55.49</v>
      </c>
      <c r="M9" t="n">
        <v>57.88</v>
      </c>
      <c r="N9" t="n">
        <v>61.68</v>
      </c>
      <c r="O9" t="n">
        <v>0.4749999999999996</v>
      </c>
    </row>
    <row r="10">
      <c r="A10" s="3" t="inlineStr">
        <is>
          <t>Liberty League</t>
        </is>
      </c>
      <c r="B10" s="3" t="inlineStr">
        <is>
          <t>200 Breast</t>
        </is>
      </c>
      <c r="C10" s="4" t="inlineStr">
        <is>
          <t>2:01.44</t>
        </is>
      </c>
      <c r="D10" s="4" t="inlineStr">
        <is>
          <t>2:08.33</t>
        </is>
      </c>
      <c r="E10" s="4" t="inlineStr">
        <is>
          <t>2:15.94</t>
        </is>
      </c>
      <c r="F10" s="8" t="n">
        <v>121.44</v>
      </c>
      <c r="G10" s="8" t="n">
        <v>128.33</v>
      </c>
      <c r="H10" s="8" t="n">
        <v>135.94</v>
      </c>
      <c r="I10" s="8" t="n">
        <v>7.609999999999985</v>
      </c>
      <c r="J10" s="8" t="n">
        <v>0.9512499999999982</v>
      </c>
      <c r="K10" t="inlineStr">
        <is>
          <t>Liberty League|200 Breast</t>
        </is>
      </c>
      <c r="L10" t="n">
        <v>121.44</v>
      </c>
      <c r="M10" t="n">
        <v>128.33</v>
      </c>
      <c r="N10" t="n">
        <v>135.94</v>
      </c>
      <c r="O10" t="n">
        <v>0.9512499999999982</v>
      </c>
    </row>
    <row r="11">
      <c r="A11" s="3" t="inlineStr">
        <is>
          <t>Liberty League</t>
        </is>
      </c>
      <c r="B11" s="3" t="inlineStr">
        <is>
          <t>100 Fly</t>
        </is>
      </c>
      <c r="C11" s="4" t="inlineStr">
        <is>
          <t>48.57</t>
        </is>
      </c>
      <c r="D11" s="4" t="inlineStr">
        <is>
          <t>50.94</t>
        </is>
      </c>
      <c r="E11" s="4" t="inlineStr">
        <is>
          <t>53.41</t>
        </is>
      </c>
      <c r="F11" s="8" t="n">
        <v>48.57</v>
      </c>
      <c r="G11" s="8" t="n">
        <v>50.94</v>
      </c>
      <c r="H11" s="8" t="n">
        <v>53.41</v>
      </c>
      <c r="I11" s="8" t="n">
        <v>2.469999999999999</v>
      </c>
      <c r="J11" s="8" t="n">
        <v>0.3087499999999999</v>
      </c>
      <c r="K11" t="inlineStr">
        <is>
          <t>Liberty League|100 Fly</t>
        </is>
      </c>
      <c r="L11" t="n">
        <v>48.57</v>
      </c>
      <c r="M11" t="n">
        <v>50.94</v>
      </c>
      <c r="N11" t="n">
        <v>53.41</v>
      </c>
      <c r="O11" t="n">
        <v>0.3087499999999999</v>
      </c>
    </row>
    <row r="12">
      <c r="A12" s="3" t="inlineStr">
        <is>
          <t>Liberty League</t>
        </is>
      </c>
      <c r="B12" s="3" t="inlineStr">
        <is>
          <t>200 Fly</t>
        </is>
      </c>
      <c r="C12" s="4" t="inlineStr">
        <is>
          <t>1:48.52</t>
        </is>
      </c>
      <c r="D12" s="4" t="inlineStr">
        <is>
          <t>1:54.66</t>
        </is>
      </c>
      <c r="E12" s="4" t="inlineStr">
        <is>
          <t>2:01.33</t>
        </is>
      </c>
      <c r="F12" s="8" t="n">
        <v>108.52</v>
      </c>
      <c r="G12" s="8" t="n">
        <v>114.66</v>
      </c>
      <c r="H12" s="8" t="n">
        <v>121.33</v>
      </c>
      <c r="I12" s="8" t="n">
        <v>6.670000000000002</v>
      </c>
      <c r="J12" s="8" t="n">
        <v>0.8337500000000002</v>
      </c>
      <c r="K12" t="inlineStr">
        <is>
          <t>Liberty League|200 Fly</t>
        </is>
      </c>
      <c r="L12" t="n">
        <v>108.52</v>
      </c>
      <c r="M12" t="n">
        <v>114.66</v>
      </c>
      <c r="N12" t="n">
        <v>121.33</v>
      </c>
      <c r="O12" t="n">
        <v>0.8337500000000002</v>
      </c>
    </row>
    <row r="13">
      <c r="A13" s="3" t="inlineStr">
        <is>
          <t>Liberty League</t>
        </is>
      </c>
      <c r="B13" s="3" t="inlineStr">
        <is>
          <t>200 IM</t>
        </is>
      </c>
      <c r="C13" s="4" t="inlineStr">
        <is>
          <t>1:54.03</t>
        </is>
      </c>
      <c r="D13" s="4" t="inlineStr">
        <is>
          <t>1:56.30</t>
        </is>
      </c>
      <c r="E13" s="4" t="inlineStr">
        <is>
          <t>1:58.29</t>
        </is>
      </c>
      <c r="F13" s="8" t="n">
        <v>114.03</v>
      </c>
      <c r="G13" s="8" t="n">
        <v>116.3</v>
      </c>
      <c r="H13" s="8" t="n">
        <v>118.29</v>
      </c>
      <c r="I13" s="8" t="n">
        <v>1.989999999999995</v>
      </c>
      <c r="J13" s="8" t="n">
        <v>0.2487499999999994</v>
      </c>
      <c r="K13" t="inlineStr">
        <is>
          <t>Liberty League|200 IM</t>
        </is>
      </c>
      <c r="L13" t="n">
        <v>114.03</v>
      </c>
      <c r="M13" t="n">
        <v>116.3</v>
      </c>
      <c r="N13" t="n">
        <v>118.29</v>
      </c>
      <c r="O13" t="n">
        <v>0.2487499999999994</v>
      </c>
    </row>
    <row r="14">
      <c r="A14" s="3" t="inlineStr">
        <is>
          <t>Liberty League</t>
        </is>
      </c>
      <c r="B14" s="3" t="inlineStr">
        <is>
          <t>400 IM</t>
        </is>
      </c>
      <c r="C14" s="4" t="inlineStr">
        <is>
          <t>4:05.21</t>
        </is>
      </c>
      <c r="D14" s="4" t="inlineStr">
        <is>
          <t>4:11.87</t>
        </is>
      </c>
      <c r="E14" s="4" t="inlineStr">
        <is>
          <t>4:20.50</t>
        </is>
      </c>
      <c r="F14" s="8" t="n">
        <v>245.21</v>
      </c>
      <c r="G14" s="8" t="n">
        <v>251.87</v>
      </c>
      <c r="H14" s="8" t="n">
        <v>260.5</v>
      </c>
      <c r="I14" s="8" t="n">
        <v>8.629999999999995</v>
      </c>
      <c r="J14" s="8" t="n">
        <v>1.078749999999999</v>
      </c>
      <c r="K14" t="inlineStr">
        <is>
          <t>Liberty League|400 IM</t>
        </is>
      </c>
      <c r="L14" t="n">
        <v>245.21</v>
      </c>
      <c r="M14" t="n">
        <v>251.87</v>
      </c>
      <c r="N14" t="n">
        <v>260.5</v>
      </c>
      <c r="O14" t="n">
        <v>1.078749999999999</v>
      </c>
    </row>
    <row r="15">
      <c r="A15" s="3" t="inlineStr">
        <is>
          <t>Liberty League</t>
        </is>
      </c>
      <c r="B15" s="3" t="inlineStr">
        <is>
          <t>50 Breast (Relay Split)</t>
        </is>
      </c>
      <c r="C15" s="4" t="inlineStr">
        <is>
          <t>25.13</t>
        </is>
      </c>
      <c r="D15" s="4" t="inlineStr">
        <is>
          <t>25.83</t>
        </is>
      </c>
      <c r="E15" s="4" t="inlineStr">
        <is>
          <t>31.32</t>
        </is>
      </c>
      <c r="F15" s="8" t="n">
        <v>25.13</v>
      </c>
      <c r="G15" s="8" t="n">
        <v>25.83</v>
      </c>
      <c r="H15" s="8" t="n">
        <v>31.32</v>
      </c>
      <c r="I15" s="8" t="n">
        <v>5.490000000000002</v>
      </c>
      <c r="J15" s="8" t="n">
        <v>0.6862500000000002</v>
      </c>
      <c r="K15" t="inlineStr">
        <is>
          <t>Liberty League|50 Breast (Relay Split)</t>
        </is>
      </c>
      <c r="L15" t="n">
        <v>25.13</v>
      </c>
      <c r="M15" t="n">
        <v>25.83</v>
      </c>
      <c r="N15" t="n">
        <v>31.32</v>
      </c>
      <c r="O15" t="n">
        <v>0.6862500000000002</v>
      </c>
    </row>
    <row r="16">
      <c r="A16" t="inlineStr">
        <is>
          <t>Centennial</t>
        </is>
      </c>
      <c r="B16" t="inlineStr">
        <is>
          <t>50 Free</t>
        </is>
      </c>
      <c r="C16" s="2" t="inlineStr">
        <is>
          <t>20.19</t>
        </is>
      </c>
      <c r="D16" s="2" t="inlineStr">
        <is>
          <t>20.92</t>
        </is>
      </c>
      <c r="E16" s="2" t="inlineStr">
        <is>
          <t>21.83</t>
        </is>
      </c>
      <c r="F16" s="8" t="n">
        <v>20.19</v>
      </c>
      <c r="G16" s="8" t="n">
        <v>20.92</v>
      </c>
      <c r="H16" s="8" t="n">
        <v>21.83</v>
      </c>
      <c r="I16" s="8" t="n">
        <v>0.9099999999999966</v>
      </c>
      <c r="J16" s="8" t="n">
        <v>0.1137499999999996</v>
      </c>
      <c r="K16" t="inlineStr">
        <is>
          <t>Centennial|50 Free</t>
        </is>
      </c>
      <c r="L16" t="n">
        <v>20.19</v>
      </c>
      <c r="M16" t="n">
        <v>20.92</v>
      </c>
      <c r="N16" t="n">
        <v>21.83</v>
      </c>
      <c r="O16" t="n">
        <v>0.1137499999999996</v>
      </c>
    </row>
    <row r="17">
      <c r="A17" t="inlineStr">
        <is>
          <t>Centennial</t>
        </is>
      </c>
      <c r="B17" t="inlineStr">
        <is>
          <t>100 Free</t>
        </is>
      </c>
      <c r="C17" s="2" t="inlineStr">
        <is>
          <t>44.39</t>
        </is>
      </c>
      <c r="D17" s="2" t="inlineStr">
        <is>
          <t>46.05</t>
        </is>
      </c>
      <c r="E17" s="2" t="inlineStr">
        <is>
          <t>47.52</t>
        </is>
      </c>
      <c r="F17" s="8" t="n">
        <v>44.39</v>
      </c>
      <c r="G17" s="8" t="n">
        <v>46.05</v>
      </c>
      <c r="H17" s="8" t="n">
        <v>47.52</v>
      </c>
      <c r="I17" s="8" t="n">
        <v>1.470000000000006</v>
      </c>
      <c r="J17" s="8" t="n">
        <v>0.1837500000000007</v>
      </c>
      <c r="K17" t="inlineStr">
        <is>
          <t>Centennial|100 Free</t>
        </is>
      </c>
      <c r="L17" t="n">
        <v>44.39</v>
      </c>
      <c r="M17" t="n">
        <v>46.05</v>
      </c>
      <c r="N17" t="n">
        <v>47.52</v>
      </c>
      <c r="O17" t="n">
        <v>0.1837500000000007</v>
      </c>
    </row>
    <row r="18">
      <c r="A18" t="inlineStr">
        <is>
          <t>Centennial</t>
        </is>
      </c>
      <c r="B18" t="inlineStr">
        <is>
          <t>200 Free</t>
        </is>
      </c>
      <c r="C18" s="2" t="inlineStr">
        <is>
          <t>1:37.88</t>
        </is>
      </c>
      <c r="D18" s="2" t="inlineStr">
        <is>
          <t>1:41.34</t>
        </is>
      </c>
      <c r="E18" s="2" t="inlineStr">
        <is>
          <t>1:44.60</t>
        </is>
      </c>
      <c r="F18" s="8" t="n">
        <v>97.88</v>
      </c>
      <c r="G18" s="8" t="n">
        <v>101.34</v>
      </c>
      <c r="H18" s="8" t="n">
        <v>104.6</v>
      </c>
      <c r="I18" s="8" t="n">
        <v>3.259999999999991</v>
      </c>
      <c r="J18" s="8" t="n">
        <v>0.4074999999999989</v>
      </c>
      <c r="K18" t="inlineStr">
        <is>
          <t>Centennial|200 Free</t>
        </is>
      </c>
      <c r="L18" t="n">
        <v>97.88</v>
      </c>
      <c r="M18" t="n">
        <v>101.34</v>
      </c>
      <c r="N18" t="n">
        <v>104.6</v>
      </c>
      <c r="O18" t="n">
        <v>0.4074999999999989</v>
      </c>
    </row>
    <row r="19">
      <c r="A19" t="inlineStr">
        <is>
          <t>Centennial</t>
        </is>
      </c>
      <c r="B19" t="inlineStr">
        <is>
          <t>500 Free</t>
        </is>
      </c>
      <c r="C19" s="2" t="inlineStr">
        <is>
          <t>4:27.63</t>
        </is>
      </c>
      <c r="D19" s="2" t="inlineStr">
        <is>
          <t>4:40.82</t>
        </is>
      </c>
      <c r="E19" s="2" t="inlineStr">
        <is>
          <t>4:57.91</t>
        </is>
      </c>
      <c r="F19" s="8" t="n">
        <v>267.63</v>
      </c>
      <c r="G19" s="8" t="n">
        <v>280.82</v>
      </c>
      <c r="H19" s="8" t="n">
        <v>297.91</v>
      </c>
      <c r="I19" s="8" t="n">
        <v>17.08999999999997</v>
      </c>
      <c r="J19" s="8" t="n">
        <v>2.136249999999997</v>
      </c>
      <c r="K19" t="inlineStr">
        <is>
          <t>Centennial|500 Free</t>
        </is>
      </c>
      <c r="L19" t="n">
        <v>267.63</v>
      </c>
      <c r="M19" t="n">
        <v>280.82</v>
      </c>
      <c r="N19" t="n">
        <v>297.91</v>
      </c>
      <c r="O19" t="n">
        <v>2.136249999999997</v>
      </c>
    </row>
    <row r="20">
      <c r="A20" t="inlineStr">
        <is>
          <t>Centennial</t>
        </is>
      </c>
      <c r="B20" t="inlineStr">
        <is>
          <t>1650 Free</t>
        </is>
      </c>
      <c r="C20" s="2" t="inlineStr">
        <is>
          <t>15:24.87</t>
        </is>
      </c>
      <c r="D20" s="2" t="inlineStr">
        <is>
          <t>16:19.43</t>
        </is>
      </c>
      <c r="E20" s="2" t="inlineStr">
        <is>
          <t>17:07.55</t>
        </is>
      </c>
      <c r="F20" s="8" t="n">
        <v>924.87</v>
      </c>
      <c r="G20" s="8" t="n">
        <v>979.4299999999999</v>
      </c>
      <c r="H20" s="8" t="n">
        <v>1027.55</v>
      </c>
      <c r="I20" s="8" t="n">
        <v>48.12</v>
      </c>
      <c r="J20" s="8" t="n">
        <v>6.015000000000001</v>
      </c>
      <c r="K20" t="inlineStr">
        <is>
          <t>Centennial|1650 Free</t>
        </is>
      </c>
      <c r="L20" t="n">
        <v>924.87</v>
      </c>
      <c r="M20" t="n">
        <v>979.4299999999999</v>
      </c>
      <c r="N20" t="n">
        <v>1027.55</v>
      </c>
      <c r="O20" t="n">
        <v>6.015000000000001</v>
      </c>
    </row>
    <row r="21">
      <c r="A21" t="inlineStr">
        <is>
          <t>Centennial</t>
        </is>
      </c>
      <c r="B21" t="inlineStr">
        <is>
          <t>100 Back</t>
        </is>
      </c>
      <c r="C21" s="2" t="inlineStr">
        <is>
          <t>48.70</t>
        </is>
      </c>
      <c r="D21" s="2" t="inlineStr">
        <is>
          <t>50.93</t>
        </is>
      </c>
      <c r="E21" s="2" t="inlineStr">
        <is>
          <t>53.04</t>
        </is>
      </c>
      <c r="F21" s="8" t="n">
        <v>48.7</v>
      </c>
      <c r="G21" s="8" t="n">
        <v>50.93</v>
      </c>
      <c r="H21" s="8" t="n">
        <v>53.04</v>
      </c>
      <c r="I21" s="8" t="n">
        <v>2.109999999999999</v>
      </c>
      <c r="J21" s="8" t="n">
        <v>0.2637499999999999</v>
      </c>
      <c r="K21" t="inlineStr">
        <is>
          <t>Centennial|100 Back</t>
        </is>
      </c>
      <c r="L21" t="n">
        <v>48.7</v>
      </c>
      <c r="M21" t="n">
        <v>50.93</v>
      </c>
      <c r="N21" t="n">
        <v>53.04</v>
      </c>
      <c r="O21" t="n">
        <v>0.2637499999999999</v>
      </c>
    </row>
    <row r="22">
      <c r="A22" t="inlineStr">
        <is>
          <t>Centennial</t>
        </is>
      </c>
      <c r="B22" t="inlineStr">
        <is>
          <t>200 Back</t>
        </is>
      </c>
      <c r="C22" s="2" t="inlineStr">
        <is>
          <t>1:45.92</t>
        </is>
      </c>
      <c r="D22" s="2" t="inlineStr">
        <is>
          <t>1:50.86</t>
        </is>
      </c>
      <c r="E22" s="2" t="inlineStr">
        <is>
          <t>1:55.94</t>
        </is>
      </c>
      <c r="F22" s="8" t="n">
        <v>105.92</v>
      </c>
      <c r="G22" s="8" t="n">
        <v>110.86</v>
      </c>
      <c r="H22" s="8" t="n">
        <v>115.94</v>
      </c>
      <c r="I22" s="8" t="n">
        <v>5.079999999999998</v>
      </c>
      <c r="J22" s="8" t="n">
        <v>0.6349999999999998</v>
      </c>
      <c r="K22" t="inlineStr">
        <is>
          <t>Centennial|200 Back</t>
        </is>
      </c>
      <c r="L22" t="n">
        <v>105.92</v>
      </c>
      <c r="M22" t="n">
        <v>110.86</v>
      </c>
      <c r="N22" t="n">
        <v>115.94</v>
      </c>
      <c r="O22" t="n">
        <v>0.6349999999999998</v>
      </c>
    </row>
    <row r="23">
      <c r="A23" t="inlineStr">
        <is>
          <t>Centennial</t>
        </is>
      </c>
      <c r="B23" t="inlineStr">
        <is>
          <t>100 Breast</t>
        </is>
      </c>
      <c r="C23" s="2" t="inlineStr">
        <is>
          <t>54.69</t>
        </is>
      </c>
      <c r="D23" s="2" t="inlineStr">
        <is>
          <t>57.66</t>
        </is>
      </c>
      <c r="E23" s="2" t="inlineStr">
        <is>
          <t>1:00.73</t>
        </is>
      </c>
      <c r="F23" s="8" t="n">
        <v>54.69</v>
      </c>
      <c r="G23" s="8" t="n">
        <v>57.66</v>
      </c>
      <c r="H23" s="8" t="n">
        <v>60.73</v>
      </c>
      <c r="I23" s="8" t="n">
        <v>3.07</v>
      </c>
      <c r="J23" s="8" t="n">
        <v>0.38375</v>
      </c>
      <c r="K23" t="inlineStr">
        <is>
          <t>Centennial|100 Breast</t>
        </is>
      </c>
      <c r="L23" t="n">
        <v>54.69</v>
      </c>
      <c r="M23" t="n">
        <v>57.66</v>
      </c>
      <c r="N23" t="n">
        <v>60.73</v>
      </c>
      <c r="O23" t="n">
        <v>0.38375</v>
      </c>
    </row>
    <row r="24">
      <c r="A24" t="inlineStr">
        <is>
          <t>Centennial</t>
        </is>
      </c>
      <c r="B24" t="inlineStr">
        <is>
          <t>200 Breast</t>
        </is>
      </c>
      <c r="C24" s="2" t="inlineStr">
        <is>
          <t>1:58.61</t>
        </is>
      </c>
      <c r="D24" s="2" t="inlineStr">
        <is>
          <t>2:04.58</t>
        </is>
      </c>
      <c r="E24" s="2" t="inlineStr">
        <is>
          <t>2:11.27</t>
        </is>
      </c>
      <c r="F24" s="8" t="n">
        <v>118.61</v>
      </c>
      <c r="G24" s="8" t="n">
        <v>124.58</v>
      </c>
      <c r="H24" s="8" t="n">
        <v>131.27</v>
      </c>
      <c r="I24" s="8" t="n">
        <v>6.690000000000012</v>
      </c>
      <c r="J24" s="8" t="n">
        <v>0.8362500000000015</v>
      </c>
      <c r="K24" t="inlineStr">
        <is>
          <t>Centennial|200 Breast</t>
        </is>
      </c>
      <c r="L24" t="n">
        <v>118.61</v>
      </c>
      <c r="M24" t="n">
        <v>124.58</v>
      </c>
      <c r="N24" t="n">
        <v>131.27</v>
      </c>
      <c r="O24" t="n">
        <v>0.8362500000000015</v>
      </c>
    </row>
    <row r="25">
      <c r="A25" t="inlineStr">
        <is>
          <t>Centennial</t>
        </is>
      </c>
      <c r="B25" t="inlineStr">
        <is>
          <t>100 Fly</t>
        </is>
      </c>
      <c r="C25" s="2" t="inlineStr">
        <is>
          <t>48.10</t>
        </is>
      </c>
      <c r="D25" s="2" t="inlineStr">
        <is>
          <t>50.41</t>
        </is>
      </c>
      <c r="E25" s="2" t="inlineStr">
        <is>
          <t>52.39</t>
        </is>
      </c>
      <c r="F25" s="8" t="n">
        <v>48.1</v>
      </c>
      <c r="G25" s="8" t="n">
        <v>50.41</v>
      </c>
      <c r="H25" s="8" t="n">
        <v>52.39</v>
      </c>
      <c r="I25" s="8" t="n">
        <v>1.980000000000004</v>
      </c>
      <c r="J25" s="8" t="n">
        <v>0.2475000000000005</v>
      </c>
      <c r="K25" t="inlineStr">
        <is>
          <t>Centennial|100 Fly</t>
        </is>
      </c>
      <c r="L25" t="n">
        <v>48.1</v>
      </c>
      <c r="M25" t="n">
        <v>50.41</v>
      </c>
      <c r="N25" t="n">
        <v>52.39</v>
      </c>
      <c r="O25" t="n">
        <v>0.2475000000000005</v>
      </c>
    </row>
    <row r="26">
      <c r="A26" t="inlineStr">
        <is>
          <t>Centennial</t>
        </is>
      </c>
      <c r="B26" t="inlineStr">
        <is>
          <t>200 Fly</t>
        </is>
      </c>
      <c r="C26" s="2" t="inlineStr">
        <is>
          <t>1:47.39</t>
        </is>
      </c>
      <c r="D26" s="2" t="inlineStr">
        <is>
          <t>1:52.81</t>
        </is>
      </c>
      <c r="E26" s="2" t="inlineStr">
        <is>
          <t>1:58.90</t>
        </is>
      </c>
      <c r="F26" s="8" t="n">
        <v>107.39</v>
      </c>
      <c r="G26" s="8" t="n">
        <v>112.81</v>
      </c>
      <c r="H26" s="8" t="n">
        <v>118.9</v>
      </c>
      <c r="I26" s="8" t="n">
        <v>6.090000000000003</v>
      </c>
      <c r="J26" s="8" t="n">
        <v>0.7612500000000004</v>
      </c>
      <c r="K26" t="inlineStr">
        <is>
          <t>Centennial|200 Fly</t>
        </is>
      </c>
      <c r="L26" t="n">
        <v>107.39</v>
      </c>
      <c r="M26" t="n">
        <v>112.81</v>
      </c>
      <c r="N26" t="n">
        <v>118.9</v>
      </c>
      <c r="O26" t="n">
        <v>0.7612500000000004</v>
      </c>
    </row>
    <row r="27">
      <c r="A27" t="inlineStr">
        <is>
          <t>Centennial</t>
        </is>
      </c>
      <c r="B27" t="inlineStr">
        <is>
          <t>200 IM</t>
        </is>
      </c>
      <c r="C27" s="2" t="inlineStr">
        <is>
          <t>1:47.96</t>
        </is>
      </c>
      <c r="D27" s="2" t="inlineStr">
        <is>
          <t>1:51.76</t>
        </is>
      </c>
      <c r="E27" s="2" t="inlineStr">
        <is>
          <t>1:55.04</t>
        </is>
      </c>
      <c r="F27" s="8" t="n">
        <v>107.96</v>
      </c>
      <c r="G27" s="8" t="n">
        <v>111.76</v>
      </c>
      <c r="H27" s="8" t="n">
        <v>115.04</v>
      </c>
      <c r="I27" s="8" t="n">
        <v>3.280000000000001</v>
      </c>
      <c r="J27" s="8" t="n">
        <v>0.4100000000000001</v>
      </c>
      <c r="K27" t="inlineStr">
        <is>
          <t>Centennial|200 IM</t>
        </is>
      </c>
      <c r="L27" t="n">
        <v>107.96</v>
      </c>
      <c r="M27" t="n">
        <v>111.76</v>
      </c>
      <c r="N27" t="n">
        <v>115.04</v>
      </c>
      <c r="O27" t="n">
        <v>0.4100000000000001</v>
      </c>
    </row>
    <row r="28">
      <c r="A28" t="inlineStr">
        <is>
          <t>Centennial</t>
        </is>
      </c>
      <c r="B28" t="inlineStr">
        <is>
          <t>400 IM</t>
        </is>
      </c>
      <c r="C28" s="2" t="inlineStr">
        <is>
          <t>3:52.88</t>
        </is>
      </c>
      <c r="D28" s="2" t="inlineStr">
        <is>
          <t>4:02.34</t>
        </is>
      </c>
      <c r="E28" s="2" t="inlineStr">
        <is>
          <t>4:12.76</t>
        </is>
      </c>
      <c r="F28" s="8" t="n">
        <v>232.88</v>
      </c>
      <c r="G28" s="8" t="n">
        <v>242.34</v>
      </c>
      <c r="H28" s="8" t="n">
        <v>252.76</v>
      </c>
      <c r="I28" s="8" t="n">
        <v>10.41999999999999</v>
      </c>
      <c r="J28" s="8" t="n">
        <v>1.302499999999998</v>
      </c>
      <c r="K28" t="inlineStr">
        <is>
          <t>Centennial|400 IM</t>
        </is>
      </c>
      <c r="L28" t="n">
        <v>232.88</v>
      </c>
      <c r="M28" t="n">
        <v>242.34</v>
      </c>
      <c r="N28" t="n">
        <v>252.76</v>
      </c>
      <c r="O28" t="n">
        <v>1.302499999999998</v>
      </c>
    </row>
    <row r="29">
      <c r="A29" t="inlineStr">
        <is>
          <t>Centennial</t>
        </is>
      </c>
      <c r="B29" t="inlineStr">
        <is>
          <t>50 Breast (Relay Split)</t>
        </is>
      </c>
      <c r="C29" s="2" t="inlineStr">
        <is>
          <t>24.84</t>
        </is>
      </c>
      <c r="D29" s="2" t="inlineStr">
        <is>
          <t>26.21</t>
        </is>
      </c>
      <c r="E29" s="2" t="inlineStr">
        <is>
          <t>27.88</t>
        </is>
      </c>
      <c r="F29" s="8" t="n">
        <v>24.84</v>
      </c>
      <c r="G29" s="8" t="n">
        <v>26.21</v>
      </c>
      <c r="H29" s="8" t="n">
        <v>27.88</v>
      </c>
      <c r="I29" s="8" t="n">
        <v>1.669999999999998</v>
      </c>
      <c r="J29" s="8" t="n">
        <v>0.2087499999999998</v>
      </c>
      <c r="K29" t="inlineStr">
        <is>
          <t>Centennial|50 Breast (Relay Split)</t>
        </is>
      </c>
      <c r="L29" t="n">
        <v>24.84</v>
      </c>
      <c r="M29" t="n">
        <v>26.21</v>
      </c>
      <c r="N29" t="n">
        <v>27.88</v>
      </c>
      <c r="O29" t="n">
        <v>0.2087499999999998</v>
      </c>
    </row>
    <row r="30">
      <c r="A30" s="3" t="inlineStr">
        <is>
          <t>NEWMAC</t>
        </is>
      </c>
      <c r="B30" s="3" t="inlineStr">
        <is>
          <t>50 Free</t>
        </is>
      </c>
      <c r="C30" s="4" t="inlineStr">
        <is>
          <t>20.52</t>
        </is>
      </c>
      <c r="D30" s="4" t="inlineStr">
        <is>
          <t>21.22</t>
        </is>
      </c>
      <c r="E30" s="4" t="inlineStr">
        <is>
          <t>22.04</t>
        </is>
      </c>
      <c r="F30" s="8" t="n">
        <v>20.52</v>
      </c>
      <c r="G30" s="8" t="n">
        <v>21.22</v>
      </c>
      <c r="H30" s="8" t="n">
        <v>22.04</v>
      </c>
      <c r="I30" s="8" t="n">
        <v>0.8200000000000003</v>
      </c>
      <c r="J30" s="8" t="n">
        <v>0.1025</v>
      </c>
      <c r="K30" t="inlineStr">
        <is>
          <t>NEWMAC|50 Free</t>
        </is>
      </c>
      <c r="L30" t="n">
        <v>20.52</v>
      </c>
      <c r="M30" t="n">
        <v>21.22</v>
      </c>
      <c r="N30" t="n">
        <v>22.04</v>
      </c>
      <c r="O30" t="n">
        <v>0.1025</v>
      </c>
    </row>
    <row r="31">
      <c r="A31" s="3" t="inlineStr">
        <is>
          <t>NEWMAC</t>
        </is>
      </c>
      <c r="B31" s="3" t="inlineStr">
        <is>
          <t>100 Free</t>
        </is>
      </c>
      <c r="C31" s="4" t="inlineStr">
        <is>
          <t>44.58</t>
        </is>
      </c>
      <c r="D31" s="4" t="inlineStr">
        <is>
          <t>46.25</t>
        </is>
      </c>
      <c r="E31" s="4" t="inlineStr">
        <is>
          <t>47.93</t>
        </is>
      </c>
      <c r="F31" s="8" t="n">
        <v>44.58</v>
      </c>
      <c r="G31" s="8" t="n">
        <v>46.25</v>
      </c>
      <c r="H31" s="8" t="n">
        <v>47.93</v>
      </c>
      <c r="I31" s="8" t="n">
        <v>1.68</v>
      </c>
      <c r="J31" s="8" t="n">
        <v>0.21</v>
      </c>
      <c r="K31" t="inlineStr">
        <is>
          <t>NEWMAC|100 Free</t>
        </is>
      </c>
      <c r="L31" t="n">
        <v>44.58</v>
      </c>
      <c r="M31" t="n">
        <v>46.25</v>
      </c>
      <c r="N31" t="n">
        <v>47.93</v>
      </c>
      <c r="O31" t="n">
        <v>0.21</v>
      </c>
    </row>
    <row r="32">
      <c r="A32" s="3" t="inlineStr">
        <is>
          <t>NEWMAC</t>
        </is>
      </c>
      <c r="B32" s="3" t="inlineStr">
        <is>
          <t>200 Free</t>
        </is>
      </c>
      <c r="C32" s="4" t="inlineStr">
        <is>
          <t>1:37.98</t>
        </is>
      </c>
      <c r="D32" s="4" t="inlineStr">
        <is>
          <t>1:41.92</t>
        </is>
      </c>
      <c r="E32" s="4" t="inlineStr">
        <is>
          <t>1:45.88</t>
        </is>
      </c>
      <c r="F32" s="8" t="n">
        <v>97.97999999999999</v>
      </c>
      <c r="G32" s="8" t="n">
        <v>101.92</v>
      </c>
      <c r="H32" s="8" t="n">
        <v>105.88</v>
      </c>
      <c r="I32" s="8" t="n">
        <v>3.959999999999994</v>
      </c>
      <c r="J32" s="8" t="n">
        <v>0.4949999999999992</v>
      </c>
      <c r="K32" t="inlineStr">
        <is>
          <t>NEWMAC|200 Free</t>
        </is>
      </c>
      <c r="L32" t="n">
        <v>97.97999999999999</v>
      </c>
      <c r="M32" t="n">
        <v>101.92</v>
      </c>
      <c r="N32" t="n">
        <v>105.88</v>
      </c>
      <c r="O32" t="n">
        <v>0.4949999999999992</v>
      </c>
    </row>
    <row r="33">
      <c r="A33" s="3" t="inlineStr">
        <is>
          <t>NEWMAC</t>
        </is>
      </c>
      <c r="B33" s="3" t="inlineStr">
        <is>
          <t>500 Free</t>
        </is>
      </c>
      <c r="C33" s="4" t="inlineStr">
        <is>
          <t>4:34.27</t>
        </is>
      </c>
      <c r="D33" s="4" t="inlineStr">
        <is>
          <t>4:46.94</t>
        </is>
      </c>
      <c r="E33" s="4" t="inlineStr">
        <is>
          <t>5:05.60</t>
        </is>
      </c>
      <c r="F33" s="8" t="n">
        <v>274.27</v>
      </c>
      <c r="G33" s="8" t="n">
        <v>286.94</v>
      </c>
      <c r="H33" s="8" t="n">
        <v>305.6</v>
      </c>
      <c r="I33" s="8" t="n">
        <v>18.66000000000003</v>
      </c>
      <c r="J33" s="8" t="n">
        <v>2.332500000000003</v>
      </c>
      <c r="K33" t="inlineStr">
        <is>
          <t>NEWMAC|500 Free</t>
        </is>
      </c>
      <c r="L33" t="n">
        <v>274.27</v>
      </c>
      <c r="M33" t="n">
        <v>286.94</v>
      </c>
      <c r="N33" t="n">
        <v>305.6</v>
      </c>
      <c r="O33" t="n">
        <v>2.332500000000003</v>
      </c>
    </row>
    <row r="34">
      <c r="A34" s="3" t="inlineStr">
        <is>
          <t>NEWMAC</t>
        </is>
      </c>
      <c r="B34" s="3" t="inlineStr">
        <is>
          <t>1650 Free</t>
        </is>
      </c>
      <c r="C34" s="4" t="inlineStr">
        <is>
          <t>15:46.53</t>
        </is>
      </c>
      <c r="D34" s="4" t="inlineStr">
        <is>
          <t>16:27.02</t>
        </is>
      </c>
      <c r="E34" s="4" t="inlineStr">
        <is>
          <t>17:11.89</t>
        </is>
      </c>
      <c r="F34" s="8" t="n">
        <v>946.53</v>
      </c>
      <c r="G34" s="8" t="n">
        <v>987.02</v>
      </c>
      <c r="H34" s="8" t="n">
        <v>1031.89</v>
      </c>
      <c r="I34" s="8" t="n">
        <v>44.87000000000012</v>
      </c>
      <c r="J34" s="8" t="n">
        <v>5.608750000000015</v>
      </c>
      <c r="K34" t="inlineStr">
        <is>
          <t>NEWMAC|1650 Free</t>
        </is>
      </c>
      <c r="L34" t="n">
        <v>946.53</v>
      </c>
      <c r="M34" t="n">
        <v>987.02</v>
      </c>
      <c r="N34" t="n">
        <v>1031.89</v>
      </c>
      <c r="O34" t="n">
        <v>5.608750000000015</v>
      </c>
    </row>
    <row r="35">
      <c r="A35" s="3" t="inlineStr">
        <is>
          <t>NEWMAC</t>
        </is>
      </c>
      <c r="B35" s="3" t="inlineStr">
        <is>
          <t>100 Back</t>
        </is>
      </c>
      <c r="C35" s="4" t="inlineStr">
        <is>
          <t>48.92</t>
        </is>
      </c>
      <c r="D35" s="4" t="inlineStr">
        <is>
          <t>51.12</t>
        </is>
      </c>
      <c r="E35" s="4" t="inlineStr">
        <is>
          <t>53.77</t>
        </is>
      </c>
      <c r="F35" s="8" t="n">
        <v>48.92</v>
      </c>
      <c r="G35" s="8" t="n">
        <v>51.12</v>
      </c>
      <c r="H35" s="8" t="n">
        <v>53.77</v>
      </c>
      <c r="I35" s="8" t="n">
        <v>2.650000000000006</v>
      </c>
      <c r="J35" s="8" t="n">
        <v>0.3312500000000007</v>
      </c>
      <c r="K35" t="inlineStr">
        <is>
          <t>NEWMAC|100 Back</t>
        </is>
      </c>
      <c r="L35" t="n">
        <v>48.92</v>
      </c>
      <c r="M35" t="n">
        <v>51.12</v>
      </c>
      <c r="N35" t="n">
        <v>53.77</v>
      </c>
      <c r="O35" t="n">
        <v>0.3312500000000007</v>
      </c>
    </row>
    <row r="36">
      <c r="A36" s="3" t="inlineStr">
        <is>
          <t>NEWMAC</t>
        </is>
      </c>
      <c r="B36" s="3" t="inlineStr">
        <is>
          <t>200 Back</t>
        </is>
      </c>
      <c r="C36" s="4" t="inlineStr">
        <is>
          <t>1:46.61</t>
        </is>
      </c>
      <c r="D36" s="4" t="inlineStr">
        <is>
          <t>1:53.14</t>
        </is>
      </c>
      <c r="E36" s="4" t="inlineStr">
        <is>
          <t>1:58.74</t>
        </is>
      </c>
      <c r="F36" s="8" t="n">
        <v>106.61</v>
      </c>
      <c r="G36" s="8" t="n">
        <v>113.14</v>
      </c>
      <c r="H36" s="8" t="n">
        <v>118.74</v>
      </c>
      <c r="I36" s="8" t="n">
        <v>5.600000000000009</v>
      </c>
      <c r="J36" s="8" t="n">
        <v>0.7000000000000011</v>
      </c>
      <c r="K36" t="inlineStr">
        <is>
          <t>NEWMAC|200 Back</t>
        </is>
      </c>
      <c r="L36" t="n">
        <v>106.61</v>
      </c>
      <c r="M36" t="n">
        <v>113.14</v>
      </c>
      <c r="N36" t="n">
        <v>118.74</v>
      </c>
      <c r="O36" t="n">
        <v>0.7000000000000011</v>
      </c>
    </row>
    <row r="37">
      <c r="A37" s="3" t="inlineStr">
        <is>
          <t>NEWMAC</t>
        </is>
      </c>
      <c r="B37" s="3" t="inlineStr">
        <is>
          <t>100 Breast</t>
        </is>
      </c>
      <c r="C37" s="4" t="inlineStr">
        <is>
          <t>55.66</t>
        </is>
      </c>
      <c r="D37" s="4" t="inlineStr">
        <is>
          <t>58.20</t>
        </is>
      </c>
      <c r="E37" s="4" t="inlineStr">
        <is>
          <t>1:01.74</t>
        </is>
      </c>
      <c r="F37" s="8" t="n">
        <v>55.66</v>
      </c>
      <c r="G37" s="8" t="n">
        <v>58.2</v>
      </c>
      <c r="H37" s="8" t="n">
        <v>61.74</v>
      </c>
      <c r="I37" s="8" t="n">
        <v>3.539999999999999</v>
      </c>
      <c r="J37" s="8" t="n">
        <v>0.4424999999999999</v>
      </c>
      <c r="K37" t="inlineStr">
        <is>
          <t>NEWMAC|100 Breast</t>
        </is>
      </c>
      <c r="L37" t="n">
        <v>55.66</v>
      </c>
      <c r="M37" t="n">
        <v>58.2</v>
      </c>
      <c r="N37" t="n">
        <v>61.74</v>
      </c>
      <c r="O37" t="n">
        <v>0.4424999999999999</v>
      </c>
    </row>
    <row r="38">
      <c r="A38" s="3" t="inlineStr">
        <is>
          <t>NEWMAC</t>
        </is>
      </c>
      <c r="B38" s="3" t="inlineStr">
        <is>
          <t>200 Breast</t>
        </is>
      </c>
      <c r="C38" s="4" t="inlineStr">
        <is>
          <t>2:00.48</t>
        </is>
      </c>
      <c r="D38" s="4" t="inlineStr">
        <is>
          <t>2:06.11</t>
        </is>
      </c>
      <c r="E38" s="4" t="inlineStr">
        <is>
          <t>2:13.08</t>
        </is>
      </c>
      <c r="F38" s="8" t="n">
        <v>120.48</v>
      </c>
      <c r="G38" s="8" t="n">
        <v>126.11</v>
      </c>
      <c r="H38" s="8" t="n">
        <v>133.08</v>
      </c>
      <c r="I38" s="8" t="n">
        <v>6.970000000000013</v>
      </c>
      <c r="J38" s="8" t="n">
        <v>0.8712500000000016</v>
      </c>
      <c r="K38" t="inlineStr">
        <is>
          <t>NEWMAC|200 Breast</t>
        </is>
      </c>
      <c r="L38" t="n">
        <v>120.48</v>
      </c>
      <c r="M38" t="n">
        <v>126.11</v>
      </c>
      <c r="N38" t="n">
        <v>133.08</v>
      </c>
      <c r="O38" t="n">
        <v>0.8712500000000016</v>
      </c>
    </row>
    <row r="39">
      <c r="A39" s="3" t="inlineStr">
        <is>
          <t>NEWMAC</t>
        </is>
      </c>
      <c r="B39" s="3" t="inlineStr">
        <is>
          <t>100 Fly</t>
        </is>
      </c>
      <c r="C39" s="4" t="inlineStr">
        <is>
          <t>48.63</t>
        </is>
      </c>
      <c r="D39" s="4" t="inlineStr">
        <is>
          <t>50.71</t>
        </is>
      </c>
      <c r="E39" s="4" t="inlineStr">
        <is>
          <t>52.96</t>
        </is>
      </c>
      <c r="F39" s="8" t="n">
        <v>48.63</v>
      </c>
      <c r="G39" s="8" t="n">
        <v>50.71</v>
      </c>
      <c r="H39" s="8" t="n">
        <v>52.96</v>
      </c>
      <c r="I39" s="8" t="n">
        <v>2.25</v>
      </c>
      <c r="J39" s="8" t="n">
        <v>0.28125</v>
      </c>
      <c r="K39" t="inlineStr">
        <is>
          <t>NEWMAC|100 Fly</t>
        </is>
      </c>
      <c r="L39" t="n">
        <v>48.63</v>
      </c>
      <c r="M39" t="n">
        <v>50.71</v>
      </c>
      <c r="N39" t="n">
        <v>52.96</v>
      </c>
      <c r="O39" t="n">
        <v>0.28125</v>
      </c>
    </row>
    <row r="40">
      <c r="A40" s="3" t="inlineStr">
        <is>
          <t>NEWMAC</t>
        </is>
      </c>
      <c r="B40" s="3" t="inlineStr">
        <is>
          <t>200 Fly</t>
        </is>
      </c>
      <c r="C40" s="4" t="inlineStr">
        <is>
          <t>1:48.77</t>
        </is>
      </c>
      <c r="D40" s="4" t="inlineStr">
        <is>
          <t>1:54.43</t>
        </is>
      </c>
      <c r="E40" s="4" t="inlineStr">
        <is>
          <t>2:01.17</t>
        </is>
      </c>
      <c r="F40" s="8" t="n">
        <v>108.77</v>
      </c>
      <c r="G40" s="8" t="n">
        <v>114.43</v>
      </c>
      <c r="H40" s="8" t="n">
        <v>121.17</v>
      </c>
      <c r="I40" s="8" t="n">
        <v>6.739999999999995</v>
      </c>
      <c r="J40" s="8" t="n">
        <v>0.8424999999999994</v>
      </c>
      <c r="K40" t="inlineStr">
        <is>
          <t>NEWMAC|200 Fly</t>
        </is>
      </c>
      <c r="L40" t="n">
        <v>108.77</v>
      </c>
      <c r="M40" t="n">
        <v>114.43</v>
      </c>
      <c r="N40" t="n">
        <v>121.17</v>
      </c>
      <c r="O40" t="n">
        <v>0.8424999999999994</v>
      </c>
    </row>
    <row r="41">
      <c r="A41" s="3" t="inlineStr">
        <is>
          <t>NEWMAC</t>
        </is>
      </c>
      <c r="B41" s="3" t="inlineStr">
        <is>
          <t>200 IM</t>
        </is>
      </c>
      <c r="C41" s="4" t="inlineStr">
        <is>
          <t>1:49.39</t>
        </is>
      </c>
      <c r="D41" s="4" t="inlineStr">
        <is>
          <t>1:53.25</t>
        </is>
      </c>
      <c r="E41" s="4" t="inlineStr">
        <is>
          <t>1:56.89</t>
        </is>
      </c>
      <c r="F41" s="8" t="n">
        <v>109.39</v>
      </c>
      <c r="G41" s="8" t="n">
        <v>113.25</v>
      </c>
      <c r="H41" s="8" t="n">
        <v>116.89</v>
      </c>
      <c r="I41" s="8" t="n">
        <v>3.640000000000001</v>
      </c>
      <c r="J41" s="8" t="n">
        <v>0.4550000000000001</v>
      </c>
      <c r="K41" t="inlineStr">
        <is>
          <t>NEWMAC|200 IM</t>
        </is>
      </c>
      <c r="L41" t="n">
        <v>109.39</v>
      </c>
      <c r="M41" t="n">
        <v>113.25</v>
      </c>
      <c r="N41" t="n">
        <v>116.89</v>
      </c>
      <c r="O41" t="n">
        <v>0.4550000000000001</v>
      </c>
    </row>
    <row r="42">
      <c r="A42" s="3" t="inlineStr">
        <is>
          <t>NEWMAC</t>
        </is>
      </c>
      <c r="B42" s="3" t="inlineStr">
        <is>
          <t>400 IM</t>
        </is>
      </c>
      <c r="C42" s="4" t="inlineStr">
        <is>
          <t>3:56.08</t>
        </is>
      </c>
      <c r="D42" s="4" t="inlineStr">
        <is>
          <t>4:06.94</t>
        </is>
      </c>
      <c r="E42" s="4" t="inlineStr">
        <is>
          <t>4:18.73</t>
        </is>
      </c>
      <c r="F42" s="8" t="n">
        <v>236.08</v>
      </c>
      <c r="G42" s="8" t="n">
        <v>246.94</v>
      </c>
      <c r="H42" s="8" t="n">
        <v>258.73</v>
      </c>
      <c r="I42" s="8" t="n">
        <v>11.79000000000002</v>
      </c>
      <c r="J42" s="8" t="n">
        <v>1.473750000000003</v>
      </c>
      <c r="K42" t="inlineStr">
        <is>
          <t>NEWMAC|400 IM</t>
        </is>
      </c>
      <c r="L42" t="n">
        <v>236.08</v>
      </c>
      <c r="M42" t="n">
        <v>246.94</v>
      </c>
      <c r="N42" t="n">
        <v>258.73</v>
      </c>
      <c r="O42" t="n">
        <v>1.473750000000003</v>
      </c>
    </row>
    <row r="43">
      <c r="A43" s="3" t="inlineStr">
        <is>
          <t>NEWMAC</t>
        </is>
      </c>
      <c r="B43" s="3" t="inlineStr">
        <is>
          <t>50 Breast (Relay Split)</t>
        </is>
      </c>
      <c r="C43" s="4" t="inlineStr">
        <is>
          <t>24.97</t>
        </is>
      </c>
      <c r="D43" s="4" t="inlineStr">
        <is>
          <t>26.34</t>
        </is>
      </c>
      <c r="E43" s="4" t="inlineStr">
        <is>
          <t>27.90</t>
        </is>
      </c>
      <c r="F43" s="8" t="n">
        <v>24.97</v>
      </c>
      <c r="G43" s="8" t="n">
        <v>26.34</v>
      </c>
      <c r="H43" s="8" t="n">
        <v>27.9</v>
      </c>
      <c r="I43" s="8" t="n">
        <v>1.559999999999999</v>
      </c>
      <c r="J43" s="8" t="n">
        <v>0.1949999999999998</v>
      </c>
      <c r="K43" t="inlineStr">
        <is>
          <t>NEWMAC|50 Breast (Relay Split)</t>
        </is>
      </c>
      <c r="L43" t="n">
        <v>24.97</v>
      </c>
      <c r="M43" t="n">
        <v>26.34</v>
      </c>
      <c r="N43" t="n">
        <v>27.9</v>
      </c>
      <c r="O43" t="n">
        <v>0.1949999999999998</v>
      </c>
    </row>
    <row r="44">
      <c r="A44" t="inlineStr">
        <is>
          <t>MIAC</t>
        </is>
      </c>
      <c r="B44" t="inlineStr">
        <is>
          <t>50 Free</t>
        </is>
      </c>
      <c r="C44" s="2" t="inlineStr">
        <is>
          <t>20.84</t>
        </is>
      </c>
      <c r="D44" s="2" t="inlineStr">
        <is>
          <t>21.70</t>
        </is>
      </c>
      <c r="E44" s="2" t="inlineStr">
        <is>
          <t>22.61</t>
        </is>
      </c>
      <c r="F44" s="8" t="n">
        <v>20.84</v>
      </c>
      <c r="G44" s="8" t="n">
        <v>21.7</v>
      </c>
      <c r="H44" s="8" t="n">
        <v>22.61</v>
      </c>
      <c r="I44" s="8" t="n">
        <v>0.9100000000000001</v>
      </c>
      <c r="J44" s="8" t="n">
        <v>0.11375</v>
      </c>
      <c r="K44" t="inlineStr">
        <is>
          <t>MIAC|50 Free</t>
        </is>
      </c>
      <c r="L44" t="n">
        <v>20.84</v>
      </c>
      <c r="M44" t="n">
        <v>21.7</v>
      </c>
      <c r="N44" t="n">
        <v>22.61</v>
      </c>
      <c r="O44" t="n">
        <v>0.11375</v>
      </c>
    </row>
    <row r="45">
      <c r="A45" t="inlineStr">
        <is>
          <t>MIAC</t>
        </is>
      </c>
      <c r="B45" t="inlineStr">
        <is>
          <t>100 Free</t>
        </is>
      </c>
      <c r="C45" s="2" t="inlineStr">
        <is>
          <t>45.32</t>
        </is>
      </c>
      <c r="D45" s="2" t="inlineStr">
        <is>
          <t>47.46</t>
        </is>
      </c>
      <c r="E45" s="2" t="inlineStr">
        <is>
          <t>49.28</t>
        </is>
      </c>
      <c r="F45" s="8" t="n">
        <v>45.32</v>
      </c>
      <c r="G45" s="8" t="n">
        <v>47.46</v>
      </c>
      <c r="H45" s="8" t="n">
        <v>49.28</v>
      </c>
      <c r="I45" s="8" t="n">
        <v>1.82</v>
      </c>
      <c r="J45" s="8" t="n">
        <v>0.2275</v>
      </c>
      <c r="K45" t="inlineStr">
        <is>
          <t>MIAC|100 Free</t>
        </is>
      </c>
      <c r="L45" t="n">
        <v>45.32</v>
      </c>
      <c r="M45" t="n">
        <v>47.46</v>
      </c>
      <c r="N45" t="n">
        <v>49.28</v>
      </c>
      <c r="O45" t="n">
        <v>0.2275</v>
      </c>
    </row>
    <row r="46">
      <c r="A46" t="inlineStr">
        <is>
          <t>MIAC</t>
        </is>
      </c>
      <c r="B46" t="inlineStr">
        <is>
          <t>200 Free</t>
        </is>
      </c>
      <c r="C46" s="2" t="inlineStr">
        <is>
          <t>1:40.67</t>
        </is>
      </c>
      <c r="D46" s="2" t="inlineStr">
        <is>
          <t>1:44.52</t>
        </is>
      </c>
      <c r="E46" s="2" t="inlineStr">
        <is>
          <t>1:49.33</t>
        </is>
      </c>
      <c r="F46" s="8" t="n">
        <v>100.67</v>
      </c>
      <c r="G46" s="8" t="n">
        <v>104.52</v>
      </c>
      <c r="H46" s="8" t="n">
        <v>109.33</v>
      </c>
      <c r="I46" s="8" t="n">
        <v>4.809999999999988</v>
      </c>
      <c r="J46" s="8" t="n">
        <v>0.6012499999999985</v>
      </c>
      <c r="K46" t="inlineStr">
        <is>
          <t>MIAC|200 Free</t>
        </is>
      </c>
      <c r="L46" t="n">
        <v>100.67</v>
      </c>
      <c r="M46" t="n">
        <v>104.52</v>
      </c>
      <c r="N46" t="n">
        <v>109.33</v>
      </c>
      <c r="O46" t="n">
        <v>0.6012499999999985</v>
      </c>
    </row>
    <row r="47">
      <c r="A47" t="inlineStr">
        <is>
          <t>MIAC</t>
        </is>
      </c>
      <c r="B47" t="inlineStr">
        <is>
          <t>500 Free</t>
        </is>
      </c>
      <c r="C47" s="2" t="inlineStr">
        <is>
          <t>4:35.83</t>
        </is>
      </c>
      <c r="D47" s="2" t="inlineStr">
        <is>
          <t>4:49.74</t>
        </is>
      </c>
      <c r="E47" s="2" t="inlineStr">
        <is>
          <t>5:06.58</t>
        </is>
      </c>
      <c r="F47" s="8" t="n">
        <v>275.83</v>
      </c>
      <c r="G47" s="8" t="n">
        <v>289.74</v>
      </c>
      <c r="H47" s="8" t="n">
        <v>306.58</v>
      </c>
      <c r="I47" s="8" t="n">
        <v>16.83999999999997</v>
      </c>
      <c r="J47" s="8" t="n">
        <v>2.104999999999997</v>
      </c>
      <c r="K47" t="inlineStr">
        <is>
          <t>MIAC|500 Free</t>
        </is>
      </c>
      <c r="L47" t="n">
        <v>275.83</v>
      </c>
      <c r="M47" t="n">
        <v>289.74</v>
      </c>
      <c r="N47" t="n">
        <v>306.58</v>
      </c>
      <c r="O47" t="n">
        <v>2.104999999999997</v>
      </c>
    </row>
    <row r="48">
      <c r="A48" t="inlineStr">
        <is>
          <t>MIAC</t>
        </is>
      </c>
      <c r="B48" t="inlineStr">
        <is>
          <t>1650 Free</t>
        </is>
      </c>
      <c r="C48" s="2" t="inlineStr">
        <is>
          <t>15:55.41</t>
        </is>
      </c>
      <c r="D48" s="2" t="inlineStr">
        <is>
          <t>16:53.07</t>
        </is>
      </c>
      <c r="E48" s="2" t="inlineStr">
        <is>
          <t>18:15.34</t>
        </is>
      </c>
      <c r="F48" s="8" t="n">
        <v>955.41</v>
      </c>
      <c r="G48" s="8" t="n">
        <v>1013.07</v>
      </c>
      <c r="H48" s="8" t="n">
        <v>1095.34</v>
      </c>
      <c r="I48" s="8" t="n">
        <v>82.26999999999987</v>
      </c>
      <c r="J48" s="8" t="n">
        <v>10.28374999999998</v>
      </c>
      <c r="K48" t="inlineStr">
        <is>
          <t>MIAC|1650 Free</t>
        </is>
      </c>
      <c r="L48" t="n">
        <v>955.41</v>
      </c>
      <c r="M48" t="n">
        <v>1013.07</v>
      </c>
      <c r="N48" t="n">
        <v>1095.34</v>
      </c>
      <c r="O48" t="n">
        <v>10.28374999999998</v>
      </c>
    </row>
    <row r="49">
      <c r="A49" t="inlineStr">
        <is>
          <t>MIAC</t>
        </is>
      </c>
      <c r="B49" t="inlineStr">
        <is>
          <t>100 Back</t>
        </is>
      </c>
      <c r="C49" s="2" t="inlineStr">
        <is>
          <t>50.14</t>
        </is>
      </c>
      <c r="D49" s="2" t="inlineStr">
        <is>
          <t>53.28</t>
        </is>
      </c>
      <c r="E49" s="2" t="inlineStr">
        <is>
          <t>55.94</t>
        </is>
      </c>
      <c r="F49" s="8" t="n">
        <v>50.14</v>
      </c>
      <c r="G49" s="8" t="n">
        <v>53.28</v>
      </c>
      <c r="H49" s="8" t="n">
        <v>55.94</v>
      </c>
      <c r="I49" s="8" t="n">
        <v>2.659999999999997</v>
      </c>
      <c r="J49" s="8" t="n">
        <v>0.3324999999999996</v>
      </c>
      <c r="K49" t="inlineStr">
        <is>
          <t>MIAC|100 Back</t>
        </is>
      </c>
      <c r="L49" t="n">
        <v>50.14</v>
      </c>
      <c r="M49" t="n">
        <v>53.28</v>
      </c>
      <c r="N49" t="n">
        <v>55.94</v>
      </c>
      <c r="O49" t="n">
        <v>0.3324999999999996</v>
      </c>
    </row>
    <row r="50">
      <c r="A50" t="inlineStr">
        <is>
          <t>MIAC</t>
        </is>
      </c>
      <c r="B50" t="inlineStr">
        <is>
          <t>200 Back</t>
        </is>
      </c>
      <c r="C50" s="2" t="inlineStr">
        <is>
          <t>1:50.83</t>
        </is>
      </c>
      <c r="D50" s="2" t="inlineStr">
        <is>
          <t>1:57.41</t>
        </is>
      </c>
      <c r="E50" s="2" t="inlineStr">
        <is>
          <t>2:07.96</t>
        </is>
      </c>
      <c r="F50" s="8" t="n">
        <v>110.83</v>
      </c>
      <c r="G50" s="8" t="n">
        <v>117.41</v>
      </c>
      <c r="H50" s="8" t="n">
        <v>127.96</v>
      </c>
      <c r="I50" s="8" t="n">
        <v>10.55</v>
      </c>
      <c r="J50" s="8" t="n">
        <v>1.31875</v>
      </c>
      <c r="K50" t="inlineStr">
        <is>
          <t>MIAC|200 Back</t>
        </is>
      </c>
      <c r="L50" t="n">
        <v>110.83</v>
      </c>
      <c r="M50" t="n">
        <v>117.41</v>
      </c>
      <c r="N50" t="n">
        <v>127.96</v>
      </c>
      <c r="O50" t="n">
        <v>1.31875</v>
      </c>
    </row>
    <row r="51">
      <c r="A51" t="inlineStr">
        <is>
          <t>MIAC</t>
        </is>
      </c>
      <c r="B51" t="inlineStr">
        <is>
          <t>100 Breast</t>
        </is>
      </c>
      <c r="C51" s="2" t="inlineStr">
        <is>
          <t>56.62</t>
        </is>
      </c>
      <c r="D51" s="2" t="inlineStr">
        <is>
          <t>1:00.19</t>
        </is>
      </c>
      <c r="E51" s="2" t="inlineStr">
        <is>
          <t>1:05.84</t>
        </is>
      </c>
      <c r="F51" s="8" t="n">
        <v>56.62</v>
      </c>
      <c r="G51" s="8" t="n">
        <v>60.19</v>
      </c>
      <c r="H51" s="8" t="n">
        <v>65.84</v>
      </c>
      <c r="I51" s="8" t="n">
        <v>5.650000000000006</v>
      </c>
      <c r="J51" s="8" t="n">
        <v>0.7062500000000007</v>
      </c>
      <c r="K51" t="inlineStr">
        <is>
          <t>MIAC|100 Breast</t>
        </is>
      </c>
      <c r="L51" t="n">
        <v>56.62</v>
      </c>
      <c r="M51" t="n">
        <v>60.19</v>
      </c>
      <c r="N51" t="n">
        <v>65.84</v>
      </c>
      <c r="O51" t="n">
        <v>0.7062500000000007</v>
      </c>
    </row>
    <row r="52">
      <c r="A52" t="inlineStr">
        <is>
          <t>MIAC</t>
        </is>
      </c>
      <c r="B52" t="inlineStr">
        <is>
          <t>200 Breast</t>
        </is>
      </c>
      <c r="C52" s="2" t="inlineStr">
        <is>
          <t>2:02.96</t>
        </is>
      </c>
      <c r="D52" s="2" t="inlineStr">
        <is>
          <t>2:11.40</t>
        </is>
      </c>
      <c r="E52" s="2" t="inlineStr">
        <is>
          <t>2:22.17</t>
        </is>
      </c>
      <c r="F52" s="8" t="n">
        <v>122.96</v>
      </c>
      <c r="G52" s="8" t="n">
        <v>131.4</v>
      </c>
      <c r="H52" s="8" t="n">
        <v>142.17</v>
      </c>
      <c r="I52" s="8" t="n">
        <v>10.77000000000001</v>
      </c>
      <c r="J52" s="8" t="n">
        <v>1.346250000000001</v>
      </c>
      <c r="K52" t="inlineStr">
        <is>
          <t>MIAC|200 Breast</t>
        </is>
      </c>
      <c r="L52" t="n">
        <v>122.96</v>
      </c>
      <c r="M52" t="n">
        <v>131.4</v>
      </c>
      <c r="N52" t="n">
        <v>142.17</v>
      </c>
      <c r="O52" t="n">
        <v>1.346250000000001</v>
      </c>
    </row>
    <row r="53">
      <c r="A53" t="inlineStr">
        <is>
          <t>MIAC</t>
        </is>
      </c>
      <c r="B53" t="inlineStr">
        <is>
          <t>100 Fly</t>
        </is>
      </c>
      <c r="C53" s="2" t="inlineStr">
        <is>
          <t>49.59</t>
        </is>
      </c>
      <c r="D53" s="2" t="inlineStr">
        <is>
          <t>52.68</t>
        </is>
      </c>
      <c r="E53" s="2" t="inlineStr">
        <is>
          <t>55.71</t>
        </is>
      </c>
      <c r="F53" s="8" t="n">
        <v>49.59</v>
      </c>
      <c r="G53" s="8" t="n">
        <v>52.68</v>
      </c>
      <c r="H53" s="8" t="n">
        <v>55.71</v>
      </c>
      <c r="I53" s="8" t="n">
        <v>3.030000000000001</v>
      </c>
      <c r="J53" s="8" t="n">
        <v>0.3787500000000001</v>
      </c>
      <c r="K53" t="inlineStr">
        <is>
          <t>MIAC|100 Fly</t>
        </is>
      </c>
      <c r="L53" t="n">
        <v>49.59</v>
      </c>
      <c r="M53" t="n">
        <v>52.68</v>
      </c>
      <c r="N53" t="n">
        <v>55.71</v>
      </c>
      <c r="O53" t="n">
        <v>0.3787500000000001</v>
      </c>
    </row>
    <row r="54">
      <c r="A54" t="inlineStr">
        <is>
          <t>MIAC</t>
        </is>
      </c>
      <c r="B54" t="inlineStr">
        <is>
          <t>200 Fly</t>
        </is>
      </c>
      <c r="C54" s="2" t="inlineStr">
        <is>
          <t>1:50.46</t>
        </is>
      </c>
      <c r="D54" s="2" t="inlineStr">
        <is>
          <t>1:57.92</t>
        </is>
      </c>
      <c r="E54" s="2" t="inlineStr">
        <is>
          <t>2:05.13</t>
        </is>
      </c>
      <c r="F54" s="8" t="n">
        <v>110.46</v>
      </c>
      <c r="G54" s="8" t="n">
        <v>117.92</v>
      </c>
      <c r="H54" s="8" t="n">
        <v>125.13</v>
      </c>
      <c r="I54" s="8" t="n">
        <v>7.209999999999994</v>
      </c>
      <c r="J54" s="8" t="n">
        <v>0.9012499999999992</v>
      </c>
      <c r="K54" t="inlineStr">
        <is>
          <t>MIAC|200 Fly</t>
        </is>
      </c>
      <c r="L54" t="n">
        <v>110.46</v>
      </c>
      <c r="M54" t="n">
        <v>117.92</v>
      </c>
      <c r="N54" t="n">
        <v>125.13</v>
      </c>
      <c r="O54" t="n">
        <v>0.9012499999999992</v>
      </c>
    </row>
    <row r="55">
      <c r="A55" t="inlineStr">
        <is>
          <t>MIAC</t>
        </is>
      </c>
      <c r="B55" t="inlineStr">
        <is>
          <t>200 IM</t>
        </is>
      </c>
      <c r="C55" s="2" t="inlineStr">
        <is>
          <t>1:51.94</t>
        </is>
      </c>
      <c r="D55" s="2" t="inlineStr">
        <is>
          <t>1:57.33</t>
        </is>
      </c>
      <c r="E55" s="2" t="inlineStr">
        <is>
          <t>2:02.27</t>
        </is>
      </c>
      <c r="F55" s="8" t="n">
        <v>111.94</v>
      </c>
      <c r="G55" s="8" t="n">
        <v>117.33</v>
      </c>
      <c r="H55" s="8" t="n">
        <v>122.27</v>
      </c>
      <c r="I55" s="8" t="n">
        <v>4.939999999999998</v>
      </c>
      <c r="J55" s="8" t="n">
        <v>0.6174999999999997</v>
      </c>
      <c r="K55" t="inlineStr">
        <is>
          <t>MIAC|200 IM</t>
        </is>
      </c>
      <c r="L55" t="n">
        <v>111.94</v>
      </c>
      <c r="M55" t="n">
        <v>117.33</v>
      </c>
      <c r="N55" t="n">
        <v>122.27</v>
      </c>
      <c r="O55" t="n">
        <v>0.6174999999999997</v>
      </c>
    </row>
    <row r="56">
      <c r="A56" t="inlineStr">
        <is>
          <t>MIAC</t>
        </is>
      </c>
      <c r="B56" t="inlineStr">
        <is>
          <t>400 IM</t>
        </is>
      </c>
      <c r="C56" s="2" t="inlineStr">
        <is>
          <t>4:02.18</t>
        </is>
      </c>
      <c r="D56" s="2" t="inlineStr">
        <is>
          <t>4:15.70</t>
        </is>
      </c>
      <c r="E56" s="2" t="inlineStr">
        <is>
          <t>4:32.44</t>
        </is>
      </c>
      <c r="F56" s="8" t="n">
        <v>242.18</v>
      </c>
      <c r="G56" s="8" t="n">
        <v>255.7</v>
      </c>
      <c r="H56" s="8" t="n">
        <v>272.44</v>
      </c>
      <c r="I56" s="8" t="n">
        <v>16.74000000000001</v>
      </c>
      <c r="J56" s="8" t="n">
        <v>2.092500000000001</v>
      </c>
      <c r="K56" t="inlineStr">
        <is>
          <t>MIAC|400 IM</t>
        </is>
      </c>
      <c r="L56" t="n">
        <v>242.18</v>
      </c>
      <c r="M56" t="n">
        <v>255.7</v>
      </c>
      <c r="N56" t="n">
        <v>272.44</v>
      </c>
      <c r="O56" t="n">
        <v>2.092500000000001</v>
      </c>
    </row>
    <row r="57">
      <c r="A57" t="inlineStr">
        <is>
          <t>MIAC</t>
        </is>
      </c>
      <c r="B57" t="inlineStr">
        <is>
          <t>50 Breast (Relay Split)</t>
        </is>
      </c>
      <c r="C57" s="2" t="inlineStr">
        <is>
          <t>25.43</t>
        </is>
      </c>
      <c r="D57" s="2" t="inlineStr">
        <is>
          <t>27.12</t>
        </is>
      </c>
      <c r="E57" s="2" t="inlineStr">
        <is>
          <t>28.84</t>
        </is>
      </c>
      <c r="F57" s="8" t="n">
        <v>25.43</v>
      </c>
      <c r="G57" s="8" t="n">
        <v>27.12</v>
      </c>
      <c r="H57" s="8" t="n">
        <v>28.84</v>
      </c>
      <c r="I57" s="8" t="n">
        <v>1.719999999999999</v>
      </c>
      <c r="J57" s="8" t="n">
        <v>0.2149999999999999</v>
      </c>
      <c r="K57" t="inlineStr">
        <is>
          <t>MIAC|50 Breast (Relay Split)</t>
        </is>
      </c>
      <c r="L57" t="n">
        <v>25.43</v>
      </c>
      <c r="M57" t="n">
        <v>27.12</v>
      </c>
      <c r="N57" t="n">
        <v>28.84</v>
      </c>
      <c r="O57" t="n">
        <v>0.2149999999999999</v>
      </c>
    </row>
    <row r="58">
      <c r="A58" s="3" t="inlineStr">
        <is>
          <t>SCIAC</t>
        </is>
      </c>
      <c r="B58" s="3" t="inlineStr">
        <is>
          <t>50 Free</t>
        </is>
      </c>
      <c r="C58" s="4" t="inlineStr">
        <is>
          <t>20.21</t>
        </is>
      </c>
      <c r="D58" s="4" t="inlineStr">
        <is>
          <t>20.97</t>
        </is>
      </c>
      <c r="E58" s="4" t="inlineStr">
        <is>
          <t>21.84</t>
        </is>
      </c>
      <c r="F58" s="8" t="n">
        <v>20.21</v>
      </c>
      <c r="G58" s="8" t="n">
        <v>20.97</v>
      </c>
      <c r="H58" s="8" t="n">
        <v>21.84</v>
      </c>
      <c r="I58" s="8" t="n">
        <v>0.870000000000001</v>
      </c>
      <c r="J58" s="8" t="n">
        <v>0.1087500000000001</v>
      </c>
      <c r="K58" t="inlineStr">
        <is>
          <t>SCIAC|50 Free</t>
        </is>
      </c>
      <c r="L58" t="n">
        <v>20.21</v>
      </c>
      <c r="M58" t="n">
        <v>20.97</v>
      </c>
      <c r="N58" t="n">
        <v>21.84</v>
      </c>
      <c r="O58" t="n">
        <v>0.1087500000000001</v>
      </c>
    </row>
    <row r="59">
      <c r="A59" s="3" t="inlineStr">
        <is>
          <t>SCIAC</t>
        </is>
      </c>
      <c r="B59" s="3" t="inlineStr">
        <is>
          <t>100 Free</t>
        </is>
      </c>
      <c r="C59" s="4" t="inlineStr">
        <is>
          <t>44.64</t>
        </is>
      </c>
      <c r="D59" s="4" t="inlineStr">
        <is>
          <t>46.19</t>
        </is>
      </c>
      <c r="E59" s="4" t="inlineStr">
        <is>
          <t>47.87</t>
        </is>
      </c>
      <c r="F59" s="8" t="n">
        <v>44.64</v>
      </c>
      <c r="G59" s="8" t="n">
        <v>46.19</v>
      </c>
      <c r="H59" s="8" t="n">
        <v>47.87</v>
      </c>
      <c r="I59" s="8" t="n">
        <v>1.68</v>
      </c>
      <c r="J59" s="8" t="n">
        <v>0.21</v>
      </c>
      <c r="K59" t="inlineStr">
        <is>
          <t>SCIAC|100 Free</t>
        </is>
      </c>
      <c r="L59" t="n">
        <v>44.64</v>
      </c>
      <c r="M59" t="n">
        <v>46.19</v>
      </c>
      <c r="N59" t="n">
        <v>47.87</v>
      </c>
      <c r="O59" t="n">
        <v>0.21</v>
      </c>
    </row>
    <row r="60">
      <c r="A60" s="3" t="inlineStr">
        <is>
          <t>SCIAC</t>
        </is>
      </c>
      <c r="B60" s="3" t="inlineStr">
        <is>
          <t>200 Free</t>
        </is>
      </c>
      <c r="C60" s="4" t="inlineStr">
        <is>
          <t>1:38.26</t>
        </is>
      </c>
      <c r="D60" s="4" t="inlineStr">
        <is>
          <t>1:42.11</t>
        </is>
      </c>
      <c r="E60" s="4" t="inlineStr">
        <is>
          <t>1:46.18</t>
        </is>
      </c>
      <c r="F60" s="8" t="n">
        <v>98.25999999999999</v>
      </c>
      <c r="G60" s="8" t="n">
        <v>102.11</v>
      </c>
      <c r="H60" s="8" t="n">
        <v>106.18</v>
      </c>
      <c r="I60" s="8" t="n">
        <v>4.070000000000007</v>
      </c>
      <c r="J60" s="8" t="n">
        <v>0.5087500000000009</v>
      </c>
      <c r="K60" t="inlineStr">
        <is>
          <t>SCIAC|200 Free</t>
        </is>
      </c>
      <c r="L60" t="n">
        <v>98.25999999999999</v>
      </c>
      <c r="M60" t="n">
        <v>102.11</v>
      </c>
      <c r="N60" t="n">
        <v>106.18</v>
      </c>
      <c r="O60" t="n">
        <v>0.5087500000000009</v>
      </c>
    </row>
    <row r="61">
      <c r="A61" s="3" t="inlineStr">
        <is>
          <t>SCIAC</t>
        </is>
      </c>
      <c r="B61" s="3" t="inlineStr">
        <is>
          <t>500 Free</t>
        </is>
      </c>
      <c r="C61" s="4" t="inlineStr">
        <is>
          <t>4:28.77</t>
        </is>
      </c>
      <c r="D61" s="4" t="inlineStr">
        <is>
          <t>4:40.36</t>
        </is>
      </c>
      <c r="E61" s="4" t="inlineStr">
        <is>
          <t>4:59.72</t>
        </is>
      </c>
      <c r="F61" s="8" t="n">
        <v>268.77</v>
      </c>
      <c r="G61" s="8" t="n">
        <v>280.36</v>
      </c>
      <c r="H61" s="8" t="n">
        <v>299.72</v>
      </c>
      <c r="I61" s="8" t="n">
        <v>19.36000000000001</v>
      </c>
      <c r="J61" s="8" t="n">
        <v>2.420000000000002</v>
      </c>
      <c r="K61" t="inlineStr">
        <is>
          <t>SCIAC|500 Free</t>
        </is>
      </c>
      <c r="L61" t="n">
        <v>268.77</v>
      </c>
      <c r="M61" t="n">
        <v>280.36</v>
      </c>
      <c r="N61" t="n">
        <v>299.72</v>
      </c>
      <c r="O61" t="n">
        <v>2.420000000000002</v>
      </c>
    </row>
    <row r="62">
      <c r="A62" s="3" t="inlineStr">
        <is>
          <t>SCIAC</t>
        </is>
      </c>
      <c r="B62" s="3" t="inlineStr">
        <is>
          <t>1650 Free</t>
        </is>
      </c>
      <c r="C62" s="4" t="inlineStr">
        <is>
          <t>15:19.82</t>
        </is>
      </c>
      <c r="D62" s="4" t="inlineStr">
        <is>
          <t>16:06.94</t>
        </is>
      </c>
      <c r="E62" s="4" t="inlineStr">
        <is>
          <t>16:48.55</t>
        </is>
      </c>
      <c r="F62" s="8" t="n">
        <v>919.8200000000001</v>
      </c>
      <c r="G62" s="8" t="n">
        <v>966.9400000000001</v>
      </c>
      <c r="H62" s="8" t="n">
        <v>1008.55</v>
      </c>
      <c r="I62" s="8" t="n">
        <v>41.6099999999999</v>
      </c>
      <c r="J62" s="8" t="n">
        <v>5.201249999999987</v>
      </c>
      <c r="K62" t="inlineStr">
        <is>
          <t>SCIAC|1650 Free</t>
        </is>
      </c>
      <c r="L62" t="n">
        <v>919.8200000000001</v>
      </c>
      <c r="M62" t="n">
        <v>966.9400000000001</v>
      </c>
      <c r="N62" t="n">
        <v>1008.55</v>
      </c>
      <c r="O62" t="n">
        <v>5.201249999999987</v>
      </c>
    </row>
    <row r="63">
      <c r="A63" s="3" t="inlineStr">
        <is>
          <t>SCIAC</t>
        </is>
      </c>
      <c r="B63" s="3" t="inlineStr">
        <is>
          <t>100 Back</t>
        </is>
      </c>
      <c r="C63" s="4" t="inlineStr">
        <is>
          <t>48.88</t>
        </is>
      </c>
      <c r="D63" s="4" t="inlineStr">
        <is>
          <t>51.21</t>
        </is>
      </c>
      <c r="E63" s="4" t="inlineStr">
        <is>
          <t>53.68</t>
        </is>
      </c>
      <c r="F63" s="8" t="n">
        <v>48.88</v>
      </c>
      <c r="G63" s="8" t="n">
        <v>51.21</v>
      </c>
      <c r="H63" s="8" t="n">
        <v>53.68</v>
      </c>
      <c r="I63" s="8" t="n">
        <v>2.469999999999999</v>
      </c>
      <c r="J63" s="8" t="n">
        <v>0.3087499999999999</v>
      </c>
      <c r="K63" t="inlineStr">
        <is>
          <t>SCIAC|100 Back</t>
        </is>
      </c>
      <c r="L63" t="n">
        <v>48.88</v>
      </c>
      <c r="M63" t="n">
        <v>51.21</v>
      </c>
      <c r="N63" t="n">
        <v>53.68</v>
      </c>
      <c r="O63" t="n">
        <v>0.3087499999999999</v>
      </c>
    </row>
    <row r="64">
      <c r="A64" s="3" t="inlineStr">
        <is>
          <t>SCIAC</t>
        </is>
      </c>
      <c r="B64" s="3" t="inlineStr">
        <is>
          <t>200 Back</t>
        </is>
      </c>
      <c r="C64" s="4" t="inlineStr">
        <is>
          <t>1:46.55</t>
        </is>
      </c>
      <c r="D64" s="4" t="inlineStr">
        <is>
          <t>1:52.09</t>
        </is>
      </c>
      <c r="E64" s="4" t="inlineStr">
        <is>
          <t>1:57.80</t>
        </is>
      </c>
      <c r="F64" s="8" t="n">
        <v>106.55</v>
      </c>
      <c r="G64" s="8" t="n">
        <v>112.09</v>
      </c>
      <c r="H64" s="8" t="n">
        <v>117.8</v>
      </c>
      <c r="I64" s="8" t="n">
        <v>5.709999999999994</v>
      </c>
      <c r="J64" s="8" t="n">
        <v>0.7137499999999992</v>
      </c>
      <c r="K64" t="inlineStr">
        <is>
          <t>SCIAC|200 Back</t>
        </is>
      </c>
      <c r="L64" t="n">
        <v>106.55</v>
      </c>
      <c r="M64" t="n">
        <v>112.09</v>
      </c>
      <c r="N64" t="n">
        <v>117.8</v>
      </c>
      <c r="O64" t="n">
        <v>0.7137499999999992</v>
      </c>
    </row>
    <row r="65">
      <c r="A65" s="3" t="inlineStr">
        <is>
          <t>SCIAC</t>
        </is>
      </c>
      <c r="B65" s="3" t="inlineStr">
        <is>
          <t>100 Breast</t>
        </is>
      </c>
      <c r="C65" s="4" t="inlineStr">
        <is>
          <t>54.83</t>
        </is>
      </c>
      <c r="D65" s="4" t="inlineStr">
        <is>
          <t>57.61</t>
        </is>
      </c>
      <c r="E65" s="4" t="inlineStr">
        <is>
          <t>1:01.29</t>
        </is>
      </c>
      <c r="F65" s="8" t="n">
        <v>54.83</v>
      </c>
      <c r="G65" s="8" t="n">
        <v>57.61</v>
      </c>
      <c r="H65" s="8" t="n">
        <v>61.29</v>
      </c>
      <c r="I65" s="8" t="n">
        <v>3.68</v>
      </c>
      <c r="J65" s="8" t="n">
        <v>0.46</v>
      </c>
      <c r="K65" t="inlineStr">
        <is>
          <t>SCIAC|100 Breast</t>
        </is>
      </c>
      <c r="L65" t="n">
        <v>54.83</v>
      </c>
      <c r="M65" t="n">
        <v>57.61</v>
      </c>
      <c r="N65" t="n">
        <v>61.29</v>
      </c>
      <c r="O65" t="n">
        <v>0.46</v>
      </c>
    </row>
    <row r="66">
      <c r="A66" s="3" t="inlineStr">
        <is>
          <t>SCIAC</t>
        </is>
      </c>
      <c r="B66" s="3" t="inlineStr">
        <is>
          <t>200 Breast</t>
        </is>
      </c>
      <c r="C66" s="4" t="inlineStr">
        <is>
          <t>1:59.37</t>
        </is>
      </c>
      <c r="D66" s="4" t="inlineStr">
        <is>
          <t>2:05.12</t>
        </is>
      </c>
      <c r="E66" s="4" t="inlineStr">
        <is>
          <t>2:11.58</t>
        </is>
      </c>
      <c r="F66" s="8" t="n">
        <v>119.37</v>
      </c>
      <c r="G66" s="8" t="n">
        <v>125.12</v>
      </c>
      <c r="H66" s="8" t="n">
        <v>131.58</v>
      </c>
      <c r="I66" s="8" t="n">
        <v>6.460000000000008</v>
      </c>
      <c r="J66" s="8" t="n">
        <v>0.807500000000001</v>
      </c>
      <c r="K66" t="inlineStr">
        <is>
          <t>SCIAC|200 Breast</t>
        </is>
      </c>
      <c r="L66" t="n">
        <v>119.37</v>
      </c>
      <c r="M66" t="n">
        <v>125.12</v>
      </c>
      <c r="N66" t="n">
        <v>131.58</v>
      </c>
      <c r="O66" t="n">
        <v>0.807500000000001</v>
      </c>
    </row>
    <row r="67">
      <c r="A67" s="3" t="inlineStr">
        <is>
          <t>SCIAC</t>
        </is>
      </c>
      <c r="B67" s="3" t="inlineStr">
        <is>
          <t>100 Fly</t>
        </is>
      </c>
      <c r="C67" s="4" t="inlineStr">
        <is>
          <t>48.11</t>
        </is>
      </c>
      <c r="D67" s="4" t="inlineStr">
        <is>
          <t>50.32</t>
        </is>
      </c>
      <c r="E67" s="4" t="inlineStr">
        <is>
          <t>52.75</t>
        </is>
      </c>
      <c r="F67" s="8" t="n">
        <v>48.11</v>
      </c>
      <c r="G67" s="8" t="n">
        <v>50.32</v>
      </c>
      <c r="H67" s="8" t="n">
        <v>52.75</v>
      </c>
      <c r="I67" s="8" t="n">
        <v>2.43</v>
      </c>
      <c r="J67" s="8" t="n">
        <v>0.30375</v>
      </c>
      <c r="K67" t="inlineStr">
        <is>
          <t>SCIAC|100 Fly</t>
        </is>
      </c>
      <c r="L67" t="n">
        <v>48.11</v>
      </c>
      <c r="M67" t="n">
        <v>50.32</v>
      </c>
      <c r="N67" t="n">
        <v>52.75</v>
      </c>
      <c r="O67" t="n">
        <v>0.30375</v>
      </c>
    </row>
    <row r="68">
      <c r="A68" s="3" t="inlineStr">
        <is>
          <t>SCIAC</t>
        </is>
      </c>
      <c r="B68" s="3" t="inlineStr">
        <is>
          <t>200 Fly</t>
        </is>
      </c>
      <c r="C68" s="4" t="inlineStr">
        <is>
          <t>1:46.92</t>
        </is>
      </c>
      <c r="D68" s="4" t="inlineStr">
        <is>
          <t>1:52.66</t>
        </is>
      </c>
      <c r="E68" s="4" t="inlineStr">
        <is>
          <t>1:59.84</t>
        </is>
      </c>
      <c r="F68" s="8" t="n">
        <v>106.92</v>
      </c>
      <c r="G68" s="8" t="n">
        <v>112.66</v>
      </c>
      <c r="H68" s="8" t="n">
        <v>119.84</v>
      </c>
      <c r="I68" s="8" t="n">
        <v>7.180000000000007</v>
      </c>
      <c r="J68" s="8" t="n">
        <v>0.8975000000000009</v>
      </c>
      <c r="K68" t="inlineStr">
        <is>
          <t>SCIAC|200 Fly</t>
        </is>
      </c>
      <c r="L68" t="n">
        <v>106.92</v>
      </c>
      <c r="M68" t="n">
        <v>112.66</v>
      </c>
      <c r="N68" t="n">
        <v>119.84</v>
      </c>
      <c r="O68" t="n">
        <v>0.8975000000000009</v>
      </c>
    </row>
    <row r="69">
      <c r="A69" s="3" t="inlineStr">
        <is>
          <t>SCIAC</t>
        </is>
      </c>
      <c r="B69" s="3" t="inlineStr">
        <is>
          <t>200 IM</t>
        </is>
      </c>
      <c r="C69" s="4" t="inlineStr">
        <is>
          <t>1:48.06</t>
        </is>
      </c>
      <c r="D69" s="4" t="inlineStr">
        <is>
          <t>1:52.21</t>
        </is>
      </c>
      <c r="E69" s="4" t="inlineStr">
        <is>
          <t>1:56.10</t>
        </is>
      </c>
      <c r="F69" s="8" t="n">
        <v>108.06</v>
      </c>
      <c r="G69" s="8" t="n">
        <v>112.21</v>
      </c>
      <c r="H69" s="8" t="n">
        <v>116.1</v>
      </c>
      <c r="I69" s="8" t="n">
        <v>3.889999999999986</v>
      </c>
      <c r="J69" s="8" t="n">
        <v>0.4862499999999983</v>
      </c>
      <c r="K69" t="inlineStr">
        <is>
          <t>SCIAC|200 IM</t>
        </is>
      </c>
      <c r="L69" t="n">
        <v>108.06</v>
      </c>
      <c r="M69" t="n">
        <v>112.21</v>
      </c>
      <c r="N69" t="n">
        <v>116.1</v>
      </c>
      <c r="O69" t="n">
        <v>0.4862499999999983</v>
      </c>
    </row>
    <row r="70">
      <c r="A70" s="3" t="inlineStr">
        <is>
          <t>SCIAC</t>
        </is>
      </c>
      <c r="B70" s="3" t="inlineStr">
        <is>
          <t>400 IM</t>
        </is>
      </c>
      <c r="C70" s="4" t="inlineStr">
        <is>
          <t>3:50.27</t>
        </is>
      </c>
      <c r="D70" s="4" t="inlineStr">
        <is>
          <t>4:01.41</t>
        </is>
      </c>
      <c r="E70" s="4" t="inlineStr">
        <is>
          <t>4:13.92</t>
        </is>
      </c>
      <c r="F70" s="8" t="n">
        <v>230.27</v>
      </c>
      <c r="G70" s="8" t="n">
        <v>241.41</v>
      </c>
      <c r="H70" s="8" t="n">
        <v>253.92</v>
      </c>
      <c r="I70" s="8" t="n">
        <v>12.50999999999999</v>
      </c>
      <c r="J70" s="8" t="n">
        <v>1.563749999999999</v>
      </c>
      <c r="K70" t="inlineStr">
        <is>
          <t>SCIAC|400 IM</t>
        </is>
      </c>
      <c r="L70" t="n">
        <v>230.27</v>
      </c>
      <c r="M70" t="n">
        <v>241.41</v>
      </c>
      <c r="N70" t="n">
        <v>253.92</v>
      </c>
      <c r="O70" t="n">
        <v>1.563749999999999</v>
      </c>
    </row>
    <row r="71">
      <c r="A71" s="3" t="inlineStr">
        <is>
          <t>SCIAC</t>
        </is>
      </c>
      <c r="B71" s="3" t="inlineStr">
        <is>
          <t>50 Breast (Relay Split)</t>
        </is>
      </c>
      <c r="C71" s="4" t="inlineStr">
        <is>
          <t>24.83</t>
        </is>
      </c>
      <c r="D71" s="4" t="inlineStr">
        <is>
          <t>26.99</t>
        </is>
      </c>
      <c r="E71" s="4" t="inlineStr">
        <is>
          <t>27.02</t>
        </is>
      </c>
      <c r="F71" s="8" t="n">
        <v>24.83</v>
      </c>
      <c r="G71" s="8" t="n">
        <v>26.99</v>
      </c>
      <c r="H71" s="8" t="n">
        <v>27.02</v>
      </c>
      <c r="I71" s="8" t="n">
        <v>0.03000000000000114</v>
      </c>
      <c r="J71" s="8" t="n">
        <v>0.003750000000000142</v>
      </c>
      <c r="K71" t="inlineStr">
        <is>
          <t>SCIAC|50 Breast (Relay Split)</t>
        </is>
      </c>
      <c r="L71" t="n">
        <v>24.83</v>
      </c>
      <c r="M71" t="n">
        <v>26.99</v>
      </c>
      <c r="N71" t="n">
        <v>27.02</v>
      </c>
      <c r="O71" t="n">
        <v>0.003750000000000142</v>
      </c>
    </row>
    <row r="72">
      <c r="A72" t="inlineStr">
        <is>
          <t>NCAC</t>
        </is>
      </c>
      <c r="B72" t="inlineStr">
        <is>
          <t>50 Free</t>
        </is>
      </c>
      <c r="C72" s="2" t="inlineStr">
        <is>
          <t>19.84</t>
        </is>
      </c>
      <c r="D72" s="2" t="inlineStr">
        <is>
          <t>20.72</t>
        </is>
      </c>
      <c r="E72" s="2" t="inlineStr">
        <is>
          <t>21.65</t>
        </is>
      </c>
      <c r="F72" s="8" t="n">
        <v>19.84</v>
      </c>
      <c r="G72" s="8" t="n">
        <v>20.72</v>
      </c>
      <c r="H72" s="8" t="n">
        <v>21.65</v>
      </c>
      <c r="I72" s="8" t="n">
        <v>0.9299999999999997</v>
      </c>
      <c r="J72" s="8" t="n">
        <v>0.11625</v>
      </c>
      <c r="K72" t="inlineStr">
        <is>
          <t>NCAC|50 Free</t>
        </is>
      </c>
      <c r="L72" t="n">
        <v>19.84</v>
      </c>
      <c r="M72" t="n">
        <v>20.72</v>
      </c>
      <c r="N72" t="n">
        <v>21.65</v>
      </c>
      <c r="O72" t="n">
        <v>0.11625</v>
      </c>
    </row>
    <row r="73">
      <c r="A73" t="inlineStr">
        <is>
          <t>NCAC</t>
        </is>
      </c>
      <c r="B73" t="inlineStr">
        <is>
          <t>100 Free</t>
        </is>
      </c>
      <c r="C73" s="2" t="inlineStr">
        <is>
          <t>43.87</t>
        </is>
      </c>
      <c r="D73" s="2" t="inlineStr">
        <is>
          <t>45.84</t>
        </is>
      </c>
      <c r="E73" s="2" t="inlineStr">
        <is>
          <t>47.39</t>
        </is>
      </c>
      <c r="F73" s="8" t="n">
        <v>43.87</v>
      </c>
      <c r="G73" s="8" t="n">
        <v>45.84</v>
      </c>
      <c r="H73" s="8" t="n">
        <v>47.39</v>
      </c>
      <c r="I73" s="8" t="n">
        <v>1.549999999999997</v>
      </c>
      <c r="J73" s="8" t="n">
        <v>0.1937499999999996</v>
      </c>
      <c r="K73" t="inlineStr">
        <is>
          <t>NCAC|100 Free</t>
        </is>
      </c>
      <c r="L73" t="n">
        <v>43.87</v>
      </c>
      <c r="M73" t="n">
        <v>45.84</v>
      </c>
      <c r="N73" t="n">
        <v>47.39</v>
      </c>
      <c r="O73" t="n">
        <v>0.1937499999999996</v>
      </c>
    </row>
    <row r="74">
      <c r="A74" t="inlineStr">
        <is>
          <t>NCAC</t>
        </is>
      </c>
      <c r="B74" t="inlineStr">
        <is>
          <t>200 Free</t>
        </is>
      </c>
      <c r="C74" s="2" t="inlineStr">
        <is>
          <t>1:36.92</t>
        </is>
      </c>
      <c r="D74" s="2" t="inlineStr">
        <is>
          <t>1:40.86</t>
        </is>
      </c>
      <c r="E74" s="2" t="inlineStr">
        <is>
          <t>1:44.95</t>
        </is>
      </c>
      <c r="F74" s="8" t="n">
        <v>96.92</v>
      </c>
      <c r="G74" s="8" t="n">
        <v>100.86</v>
      </c>
      <c r="H74" s="8" t="n">
        <v>104.95</v>
      </c>
      <c r="I74" s="8" t="n">
        <v>4.090000000000003</v>
      </c>
      <c r="J74" s="8" t="n">
        <v>0.5112500000000004</v>
      </c>
      <c r="K74" t="inlineStr">
        <is>
          <t>NCAC|200 Free</t>
        </is>
      </c>
      <c r="L74" t="n">
        <v>96.92</v>
      </c>
      <c r="M74" t="n">
        <v>100.86</v>
      </c>
      <c r="N74" t="n">
        <v>104.95</v>
      </c>
      <c r="O74" t="n">
        <v>0.5112500000000004</v>
      </c>
    </row>
    <row r="75">
      <c r="A75" t="inlineStr">
        <is>
          <t>NCAC</t>
        </is>
      </c>
      <c r="B75" t="inlineStr">
        <is>
          <t>500 Free</t>
        </is>
      </c>
      <c r="C75" s="2" t="inlineStr">
        <is>
          <t>4:23.54</t>
        </is>
      </c>
      <c r="D75" s="2" t="inlineStr">
        <is>
          <t>4:37.92</t>
        </is>
      </c>
      <c r="E75" s="2" t="inlineStr">
        <is>
          <t>4:53.81</t>
        </is>
      </c>
      <c r="F75" s="8" t="n">
        <v>263.54</v>
      </c>
      <c r="G75" s="8" t="n">
        <v>277.92</v>
      </c>
      <c r="H75" s="8" t="n">
        <v>293.81</v>
      </c>
      <c r="I75" s="8" t="n">
        <v>15.88999999999999</v>
      </c>
      <c r="J75" s="8" t="n">
        <v>1.986249999999998</v>
      </c>
      <c r="K75" t="inlineStr">
        <is>
          <t>NCAC|500 Free</t>
        </is>
      </c>
      <c r="L75" t="n">
        <v>263.54</v>
      </c>
      <c r="M75" t="n">
        <v>277.92</v>
      </c>
      <c r="N75" t="n">
        <v>293.81</v>
      </c>
      <c r="O75" t="n">
        <v>1.986249999999998</v>
      </c>
    </row>
    <row r="76">
      <c r="A76" t="inlineStr">
        <is>
          <t>NCAC</t>
        </is>
      </c>
      <c r="B76" t="inlineStr">
        <is>
          <t>1650 Free</t>
        </is>
      </c>
      <c r="C76" s="2" t="inlineStr">
        <is>
          <t>15:05.11</t>
        </is>
      </c>
      <c r="D76" s="2" t="inlineStr">
        <is>
          <t>15:53.88</t>
        </is>
      </c>
      <c r="E76" s="2" t="inlineStr">
        <is>
          <t>16:36.77</t>
        </is>
      </c>
      <c r="F76" s="8" t="n">
        <v>905.11</v>
      </c>
      <c r="G76" s="8" t="n">
        <v>953.88</v>
      </c>
      <c r="H76" s="8" t="n">
        <v>996.77</v>
      </c>
      <c r="I76" s="8" t="n">
        <v>42.88999999999999</v>
      </c>
      <c r="J76" s="8" t="n">
        <v>5.361249999999998</v>
      </c>
      <c r="K76" t="inlineStr">
        <is>
          <t>NCAC|1650 Free</t>
        </is>
      </c>
      <c r="L76" t="n">
        <v>905.11</v>
      </c>
      <c r="M76" t="n">
        <v>953.88</v>
      </c>
      <c r="N76" t="n">
        <v>996.77</v>
      </c>
      <c r="O76" t="n">
        <v>5.361249999999998</v>
      </c>
    </row>
    <row r="77">
      <c r="A77" t="inlineStr">
        <is>
          <t>NCAC</t>
        </is>
      </c>
      <c r="B77" t="inlineStr">
        <is>
          <t>100 Back</t>
        </is>
      </c>
      <c r="C77" s="2" t="inlineStr">
        <is>
          <t>47.21</t>
        </is>
      </c>
      <c r="D77" s="2" t="inlineStr">
        <is>
          <t>49.96</t>
        </is>
      </c>
      <c r="E77" s="2" t="inlineStr">
        <is>
          <t>52.27</t>
        </is>
      </c>
      <c r="F77" s="8" t="n">
        <v>47.21</v>
      </c>
      <c r="G77" s="8" t="n">
        <v>49.96</v>
      </c>
      <c r="H77" s="8" t="n">
        <v>52.27</v>
      </c>
      <c r="I77" s="8" t="n">
        <v>2.310000000000002</v>
      </c>
      <c r="J77" s="8" t="n">
        <v>0.2887500000000003</v>
      </c>
      <c r="K77" t="inlineStr">
        <is>
          <t>NCAC|100 Back</t>
        </is>
      </c>
      <c r="L77" t="n">
        <v>47.21</v>
      </c>
      <c r="M77" t="n">
        <v>49.96</v>
      </c>
      <c r="N77" t="n">
        <v>52.27</v>
      </c>
      <c r="O77" t="n">
        <v>0.2887500000000003</v>
      </c>
    </row>
    <row r="78">
      <c r="A78" t="inlineStr">
        <is>
          <t>NCAC</t>
        </is>
      </c>
      <c r="B78" t="inlineStr">
        <is>
          <t>200 Back</t>
        </is>
      </c>
      <c r="C78" s="2" t="inlineStr">
        <is>
          <t>1:44.98</t>
        </is>
      </c>
      <c r="D78" s="2" t="inlineStr">
        <is>
          <t>1:49.97</t>
        </is>
      </c>
      <c r="E78" s="2" t="inlineStr">
        <is>
          <t>1:55.60</t>
        </is>
      </c>
      <c r="F78" s="8" t="n">
        <v>104.98</v>
      </c>
      <c r="G78" s="8" t="n">
        <v>109.97</v>
      </c>
      <c r="H78" s="8" t="n">
        <v>115.6</v>
      </c>
      <c r="I78" s="8" t="n">
        <v>5.629999999999995</v>
      </c>
      <c r="J78" s="8" t="n">
        <v>0.7037499999999994</v>
      </c>
      <c r="K78" t="inlineStr">
        <is>
          <t>NCAC|200 Back</t>
        </is>
      </c>
      <c r="L78" t="n">
        <v>104.98</v>
      </c>
      <c r="M78" t="n">
        <v>109.97</v>
      </c>
      <c r="N78" t="n">
        <v>115.6</v>
      </c>
      <c r="O78" t="n">
        <v>0.7037499999999994</v>
      </c>
    </row>
    <row r="79">
      <c r="A79" t="inlineStr">
        <is>
          <t>NCAC</t>
        </is>
      </c>
      <c r="B79" t="inlineStr">
        <is>
          <t>100 Breast</t>
        </is>
      </c>
      <c r="C79" s="2" t="inlineStr">
        <is>
          <t>53.64</t>
        </is>
      </c>
      <c r="D79" s="2" t="inlineStr">
        <is>
          <t>56.73</t>
        </is>
      </c>
      <c r="E79" s="2" t="inlineStr">
        <is>
          <t>1:00.08</t>
        </is>
      </c>
      <c r="F79" s="8" t="n">
        <v>53.64</v>
      </c>
      <c r="G79" s="8" t="n">
        <v>56.73</v>
      </c>
      <c r="H79" s="8" t="n">
        <v>60.08</v>
      </c>
      <c r="I79" s="8" t="n">
        <v>3.350000000000001</v>
      </c>
      <c r="J79" s="8" t="n">
        <v>0.4187500000000002</v>
      </c>
      <c r="K79" t="inlineStr">
        <is>
          <t>NCAC|100 Breast</t>
        </is>
      </c>
      <c r="L79" t="n">
        <v>53.64</v>
      </c>
      <c r="M79" t="n">
        <v>56.73</v>
      </c>
      <c r="N79" t="n">
        <v>60.08</v>
      </c>
      <c r="O79" t="n">
        <v>0.4187500000000002</v>
      </c>
    </row>
    <row r="80">
      <c r="A80" t="inlineStr">
        <is>
          <t>NCAC</t>
        </is>
      </c>
      <c r="B80" t="inlineStr">
        <is>
          <t>200 Breast</t>
        </is>
      </c>
      <c r="C80" s="2" t="inlineStr">
        <is>
          <t>1:57.02</t>
        </is>
      </c>
      <c r="D80" s="2" t="inlineStr">
        <is>
          <t>2:03.51</t>
        </is>
      </c>
      <c r="E80" s="2" t="inlineStr">
        <is>
          <t>2:10.19</t>
        </is>
      </c>
      <c r="F80" s="8" t="n">
        <v>117.02</v>
      </c>
      <c r="G80" s="8" t="n">
        <v>123.51</v>
      </c>
      <c r="H80" s="8" t="n">
        <v>130.19</v>
      </c>
      <c r="I80" s="8" t="n">
        <v>6.679999999999993</v>
      </c>
      <c r="J80" s="8" t="n">
        <v>0.8349999999999991</v>
      </c>
      <c r="K80" t="inlineStr">
        <is>
          <t>NCAC|200 Breast</t>
        </is>
      </c>
      <c r="L80" t="n">
        <v>117.02</v>
      </c>
      <c r="M80" t="n">
        <v>123.51</v>
      </c>
      <c r="N80" t="n">
        <v>130.19</v>
      </c>
      <c r="O80" t="n">
        <v>0.8349999999999991</v>
      </c>
    </row>
    <row r="81">
      <c r="A81" t="inlineStr">
        <is>
          <t>NCAC</t>
        </is>
      </c>
      <c r="B81" t="inlineStr">
        <is>
          <t>100 Fly</t>
        </is>
      </c>
      <c r="C81" s="2" t="inlineStr">
        <is>
          <t>47.11</t>
        </is>
      </c>
      <c r="D81" s="2" t="inlineStr">
        <is>
          <t>49.67</t>
        </is>
      </c>
      <c r="E81" s="2" t="inlineStr">
        <is>
          <t>52.03</t>
        </is>
      </c>
      <c r="F81" s="8" t="n">
        <v>47.11</v>
      </c>
      <c r="G81" s="8" t="n">
        <v>49.67</v>
      </c>
      <c r="H81" s="8" t="n">
        <v>52.03</v>
      </c>
      <c r="I81" s="8" t="n">
        <v>2.359999999999999</v>
      </c>
      <c r="J81" s="8" t="n">
        <v>0.2949999999999999</v>
      </c>
      <c r="K81" t="inlineStr">
        <is>
          <t>NCAC|100 Fly</t>
        </is>
      </c>
      <c r="L81" t="n">
        <v>47.11</v>
      </c>
      <c r="M81" t="n">
        <v>49.67</v>
      </c>
      <c r="N81" t="n">
        <v>52.03</v>
      </c>
      <c r="O81" t="n">
        <v>0.2949999999999999</v>
      </c>
    </row>
    <row r="82">
      <c r="A82" t="inlineStr">
        <is>
          <t>NCAC</t>
        </is>
      </c>
      <c r="B82" t="inlineStr">
        <is>
          <t>200 Fly</t>
        </is>
      </c>
      <c r="C82" s="2" t="inlineStr">
        <is>
          <t>1:44.86</t>
        </is>
      </c>
      <c r="D82" s="2" t="inlineStr">
        <is>
          <t>1:50.21</t>
        </is>
      </c>
      <c r="E82" s="2" t="inlineStr">
        <is>
          <t>1:56.72</t>
        </is>
      </c>
      <c r="F82" s="8" t="n">
        <v>104.86</v>
      </c>
      <c r="G82" s="8" t="n">
        <v>110.21</v>
      </c>
      <c r="H82" s="8" t="n">
        <v>116.72</v>
      </c>
      <c r="I82" s="8" t="n">
        <v>6.509999999999991</v>
      </c>
      <c r="J82" s="8" t="n">
        <v>0.8137499999999989</v>
      </c>
      <c r="K82" t="inlineStr">
        <is>
          <t>NCAC|200 Fly</t>
        </is>
      </c>
      <c r="L82" t="n">
        <v>104.86</v>
      </c>
      <c r="M82" t="n">
        <v>110.21</v>
      </c>
      <c r="N82" t="n">
        <v>116.72</v>
      </c>
      <c r="O82" t="n">
        <v>0.8137499999999989</v>
      </c>
    </row>
    <row r="83">
      <c r="A83" t="inlineStr">
        <is>
          <t>NCAC</t>
        </is>
      </c>
      <c r="B83" t="inlineStr">
        <is>
          <t>200 IM</t>
        </is>
      </c>
      <c r="C83" s="2" t="inlineStr">
        <is>
          <t>1:46.43</t>
        </is>
      </c>
      <c r="D83" s="2" t="inlineStr">
        <is>
          <t>1:50.19</t>
        </is>
      </c>
      <c r="E83" s="2" t="inlineStr">
        <is>
          <t>1:54.08</t>
        </is>
      </c>
      <c r="F83" s="8" t="n">
        <v>106.43</v>
      </c>
      <c r="G83" s="8" t="n">
        <v>110.19</v>
      </c>
      <c r="H83" s="8" t="n">
        <v>114.08</v>
      </c>
      <c r="I83" s="8" t="n">
        <v>3.890000000000001</v>
      </c>
      <c r="J83" s="8" t="n">
        <v>0.4862500000000001</v>
      </c>
      <c r="K83" t="inlineStr">
        <is>
          <t>NCAC|200 IM</t>
        </is>
      </c>
      <c r="L83" t="n">
        <v>106.43</v>
      </c>
      <c r="M83" t="n">
        <v>110.19</v>
      </c>
      <c r="N83" t="n">
        <v>114.08</v>
      </c>
      <c r="O83" t="n">
        <v>0.4862500000000001</v>
      </c>
    </row>
    <row r="84">
      <c r="A84" t="inlineStr">
        <is>
          <t>NCAC</t>
        </is>
      </c>
      <c r="B84" t="inlineStr">
        <is>
          <t>400 IM</t>
        </is>
      </c>
      <c r="C84" s="2" t="inlineStr">
        <is>
          <t>3:46.20</t>
        </is>
      </c>
      <c r="D84" s="2" t="inlineStr">
        <is>
          <t>3:56.62</t>
        </is>
      </c>
      <c r="E84" s="2" t="inlineStr">
        <is>
          <t>4:07.81</t>
        </is>
      </c>
      <c r="F84" s="8" t="n">
        <v>226.2</v>
      </c>
      <c r="G84" s="8" t="n">
        <v>236.62</v>
      </c>
      <c r="H84" s="8" t="n">
        <v>247.81</v>
      </c>
      <c r="I84" s="8" t="n">
        <v>11.19</v>
      </c>
      <c r="J84" s="8" t="n">
        <v>1.39875</v>
      </c>
      <c r="K84" t="inlineStr">
        <is>
          <t>NCAC|400 IM</t>
        </is>
      </c>
      <c r="L84" t="n">
        <v>226.2</v>
      </c>
      <c r="M84" t="n">
        <v>236.62</v>
      </c>
      <c r="N84" t="n">
        <v>247.81</v>
      </c>
      <c r="O84" t="n">
        <v>1.39875</v>
      </c>
    </row>
    <row r="85">
      <c r="A85" t="inlineStr">
        <is>
          <t>NCAC</t>
        </is>
      </c>
      <c r="B85" t="inlineStr">
        <is>
          <t>50 Breast (Relay Split)</t>
        </is>
      </c>
      <c r="C85" s="2" t="inlineStr">
        <is>
          <t>24.59</t>
        </is>
      </c>
      <c r="D85" s="2" t="inlineStr">
        <is>
          <t>26.90</t>
        </is>
      </c>
      <c r="E85" s="2" t="inlineStr">
        <is>
          <t>27.41</t>
        </is>
      </c>
      <c r="F85" s="8" t="n">
        <v>24.59</v>
      </c>
      <c r="G85" s="8" t="n">
        <v>26.9</v>
      </c>
      <c r="H85" s="8" t="n">
        <v>27.41</v>
      </c>
      <c r="I85" s="8" t="n">
        <v>0.5100000000000016</v>
      </c>
      <c r="J85" s="8" t="n">
        <v>0.0637500000000002</v>
      </c>
      <c r="K85" t="inlineStr">
        <is>
          <t>NCAC|50 Breast (Relay Split)</t>
        </is>
      </c>
      <c r="L85" t="n">
        <v>24.59</v>
      </c>
      <c r="M85" t="n">
        <v>26.9</v>
      </c>
      <c r="N85" t="n">
        <v>27.41</v>
      </c>
      <c r="O85" t="n">
        <v>0.0637500000000002</v>
      </c>
    </row>
    <row r="86">
      <c r="A86" s="3" t="inlineStr">
        <is>
          <t>NWC</t>
        </is>
      </c>
      <c r="B86" s="3" t="inlineStr">
        <is>
          <t>50 Free</t>
        </is>
      </c>
      <c r="C86" s="4" t="inlineStr">
        <is>
          <t>20.44</t>
        </is>
      </c>
      <c r="D86" s="4" t="inlineStr">
        <is>
          <t>21.18</t>
        </is>
      </c>
      <c r="E86" s="4" t="inlineStr">
        <is>
          <t>22.08</t>
        </is>
      </c>
      <c r="F86" s="8" t="n">
        <v>20.44</v>
      </c>
      <c r="G86" s="8" t="n">
        <v>21.18</v>
      </c>
      <c r="H86" s="8" t="n">
        <v>22.08</v>
      </c>
      <c r="I86" s="8" t="n">
        <v>0.8999999999999986</v>
      </c>
      <c r="J86" s="8" t="n">
        <v>0.1124999999999998</v>
      </c>
      <c r="K86" t="inlineStr">
        <is>
          <t>NWC|50 Free</t>
        </is>
      </c>
      <c r="L86" t="n">
        <v>20.44</v>
      </c>
      <c r="M86" t="n">
        <v>21.18</v>
      </c>
      <c r="N86" t="n">
        <v>22.08</v>
      </c>
      <c r="O86" t="n">
        <v>0.1124999999999998</v>
      </c>
    </row>
    <row r="87">
      <c r="A87" s="3" t="inlineStr">
        <is>
          <t>NWC</t>
        </is>
      </c>
      <c r="B87" s="3" t="inlineStr">
        <is>
          <t>100 Free</t>
        </is>
      </c>
      <c r="C87" s="4" t="inlineStr">
        <is>
          <t>44.91</t>
        </is>
      </c>
      <c r="D87" s="4" t="inlineStr">
        <is>
          <t>46.77</t>
        </is>
      </c>
      <c r="E87" s="4" t="inlineStr">
        <is>
          <t>48.26</t>
        </is>
      </c>
      <c r="F87" s="8" t="n">
        <v>44.91</v>
      </c>
      <c r="G87" s="8" t="n">
        <v>46.77</v>
      </c>
      <c r="H87" s="8" t="n">
        <v>48.26</v>
      </c>
      <c r="I87" s="8" t="n">
        <v>1.489999999999995</v>
      </c>
      <c r="J87" s="8" t="n">
        <v>0.1862499999999994</v>
      </c>
      <c r="K87" t="inlineStr">
        <is>
          <t>NWC|100 Free</t>
        </is>
      </c>
      <c r="L87" t="n">
        <v>44.91</v>
      </c>
      <c r="M87" t="n">
        <v>46.77</v>
      </c>
      <c r="N87" t="n">
        <v>48.26</v>
      </c>
      <c r="O87" t="n">
        <v>0.1862499999999994</v>
      </c>
    </row>
    <row r="88">
      <c r="A88" s="3" t="inlineStr">
        <is>
          <t>NWC</t>
        </is>
      </c>
      <c r="B88" s="3" t="inlineStr">
        <is>
          <t>200 Free</t>
        </is>
      </c>
      <c r="C88" s="4" t="inlineStr">
        <is>
          <t>1:38.72</t>
        </is>
      </c>
      <c r="D88" s="4" t="inlineStr">
        <is>
          <t>1:42.55</t>
        </is>
      </c>
      <c r="E88" s="4" t="inlineStr">
        <is>
          <t>1:46.70</t>
        </is>
      </c>
      <c r="F88" s="8" t="n">
        <v>98.72</v>
      </c>
      <c r="G88" s="8" t="n">
        <v>102.55</v>
      </c>
      <c r="H88" s="8" t="n">
        <v>106.7</v>
      </c>
      <c r="I88" s="8" t="n">
        <v>4.150000000000006</v>
      </c>
      <c r="J88" s="8" t="n">
        <v>0.5187500000000007</v>
      </c>
      <c r="K88" t="inlineStr">
        <is>
          <t>NWC|200 Free</t>
        </is>
      </c>
      <c r="L88" t="n">
        <v>98.72</v>
      </c>
      <c r="M88" t="n">
        <v>102.55</v>
      </c>
      <c r="N88" t="n">
        <v>106.7</v>
      </c>
      <c r="O88" t="n">
        <v>0.5187500000000007</v>
      </c>
    </row>
    <row r="89">
      <c r="A89" s="3" t="inlineStr">
        <is>
          <t>NWC</t>
        </is>
      </c>
      <c r="B89" s="3" t="inlineStr">
        <is>
          <t>500 Free</t>
        </is>
      </c>
      <c r="C89" s="4" t="inlineStr">
        <is>
          <t>4:31.46</t>
        </is>
      </c>
      <c r="D89" s="4" t="inlineStr">
        <is>
          <t>4:44.03</t>
        </is>
      </c>
      <c r="E89" s="4" t="inlineStr">
        <is>
          <t>5:00.67</t>
        </is>
      </c>
      <c r="F89" s="8" t="n">
        <v>271.46</v>
      </c>
      <c r="G89" s="8" t="n">
        <v>284.03</v>
      </c>
      <c r="H89" s="8" t="n">
        <v>300.67</v>
      </c>
      <c r="I89" s="8" t="n">
        <v>16.64000000000004</v>
      </c>
      <c r="J89" s="8" t="n">
        <v>2.080000000000005</v>
      </c>
      <c r="K89" t="inlineStr">
        <is>
          <t>NWC|500 Free</t>
        </is>
      </c>
      <c r="L89" t="n">
        <v>271.46</v>
      </c>
      <c r="M89" t="n">
        <v>284.03</v>
      </c>
      <c r="N89" t="n">
        <v>300.67</v>
      </c>
      <c r="O89" t="n">
        <v>2.080000000000005</v>
      </c>
    </row>
    <row r="90">
      <c r="A90" s="3" t="inlineStr">
        <is>
          <t>NWC</t>
        </is>
      </c>
      <c r="B90" s="3" t="inlineStr">
        <is>
          <t>1650 Free</t>
        </is>
      </c>
      <c r="C90" s="4" t="inlineStr">
        <is>
          <t>15:31.88</t>
        </is>
      </c>
      <c r="D90" s="4" t="inlineStr">
        <is>
          <t>16:22.74</t>
        </is>
      </c>
      <c r="E90" s="4" t="inlineStr">
        <is>
          <t>17:09.92</t>
        </is>
      </c>
      <c r="F90" s="8" t="n">
        <v>931.88</v>
      </c>
      <c r="G90" s="8" t="n">
        <v>982.74</v>
      </c>
      <c r="H90" s="8" t="n">
        <v>1029.92</v>
      </c>
      <c r="I90" s="8" t="n">
        <v>47.18000000000006</v>
      </c>
      <c r="J90" s="8" t="n">
        <v>5.897500000000008</v>
      </c>
      <c r="K90" t="inlineStr">
        <is>
          <t>NWC|1650 Free</t>
        </is>
      </c>
      <c r="L90" t="n">
        <v>931.88</v>
      </c>
      <c r="M90" t="n">
        <v>982.74</v>
      </c>
      <c r="N90" t="n">
        <v>1029.92</v>
      </c>
      <c r="O90" t="n">
        <v>5.897500000000008</v>
      </c>
    </row>
    <row r="91">
      <c r="A91" s="3" t="inlineStr">
        <is>
          <t>NWC</t>
        </is>
      </c>
      <c r="B91" s="3" t="inlineStr">
        <is>
          <t>100 Back</t>
        </is>
      </c>
      <c r="C91" s="4" t="inlineStr">
        <is>
          <t>48.51</t>
        </is>
      </c>
      <c r="D91" s="4" t="inlineStr">
        <is>
          <t>50.94</t>
        </is>
      </c>
      <c r="E91" s="4" t="inlineStr">
        <is>
          <t>53.42</t>
        </is>
      </c>
      <c r="F91" s="8" t="n">
        <v>48.51</v>
      </c>
      <c r="G91" s="8" t="n">
        <v>50.94</v>
      </c>
      <c r="H91" s="8" t="n">
        <v>53.42</v>
      </c>
      <c r="I91" s="8" t="n">
        <v>2.480000000000004</v>
      </c>
      <c r="J91" s="8" t="n">
        <v>0.3100000000000005</v>
      </c>
      <c r="K91" t="inlineStr">
        <is>
          <t>NWC|100 Back</t>
        </is>
      </c>
      <c r="L91" t="n">
        <v>48.51</v>
      </c>
      <c r="M91" t="n">
        <v>50.94</v>
      </c>
      <c r="N91" t="n">
        <v>53.42</v>
      </c>
      <c r="O91" t="n">
        <v>0.3100000000000005</v>
      </c>
    </row>
    <row r="92">
      <c r="A92" s="3" t="inlineStr">
        <is>
          <t>NWC</t>
        </is>
      </c>
      <c r="B92" s="3" t="inlineStr">
        <is>
          <t>200 Back</t>
        </is>
      </c>
      <c r="C92" s="4" t="inlineStr">
        <is>
          <t>1:46.98</t>
        </is>
      </c>
      <c r="D92" s="4" t="inlineStr">
        <is>
          <t>1:52.41</t>
        </is>
      </c>
      <c r="E92" s="4" t="inlineStr">
        <is>
          <t>1:58.93</t>
        </is>
      </c>
      <c r="F92" s="8" t="n">
        <v>106.98</v>
      </c>
      <c r="G92" s="8" t="n">
        <v>112.41</v>
      </c>
      <c r="H92" s="8" t="n">
        <v>118.93</v>
      </c>
      <c r="I92" s="8" t="n">
        <v>6.52000000000001</v>
      </c>
      <c r="J92" s="8" t="n">
        <v>0.8150000000000013</v>
      </c>
      <c r="K92" t="inlineStr">
        <is>
          <t>NWC|200 Back</t>
        </is>
      </c>
      <c r="L92" t="n">
        <v>106.98</v>
      </c>
      <c r="M92" t="n">
        <v>112.41</v>
      </c>
      <c r="N92" t="n">
        <v>118.93</v>
      </c>
      <c r="O92" t="n">
        <v>0.8150000000000013</v>
      </c>
    </row>
    <row r="93">
      <c r="A93" s="3" t="inlineStr">
        <is>
          <t>NWC</t>
        </is>
      </c>
      <c r="B93" s="3" t="inlineStr">
        <is>
          <t>100 Breast</t>
        </is>
      </c>
      <c r="C93" s="4" t="inlineStr">
        <is>
          <t>55.42</t>
        </is>
      </c>
      <c r="D93" s="4" t="inlineStr">
        <is>
          <t>58.26</t>
        </is>
      </c>
      <c r="E93" s="4" t="inlineStr">
        <is>
          <t>1:02.31</t>
        </is>
      </c>
      <c r="F93" s="8" t="n">
        <v>55.42</v>
      </c>
      <c r="G93" s="8" t="n">
        <v>58.26</v>
      </c>
      <c r="H93" s="8" t="n">
        <v>62.31</v>
      </c>
      <c r="I93" s="8" t="n">
        <v>4.050000000000004</v>
      </c>
      <c r="J93" s="8" t="n">
        <v>0.5062500000000005</v>
      </c>
      <c r="K93" t="inlineStr">
        <is>
          <t>NWC|100 Breast</t>
        </is>
      </c>
      <c r="L93" t="n">
        <v>55.42</v>
      </c>
      <c r="M93" t="n">
        <v>58.26</v>
      </c>
      <c r="N93" t="n">
        <v>62.31</v>
      </c>
      <c r="O93" t="n">
        <v>0.5062500000000005</v>
      </c>
    </row>
    <row r="94">
      <c r="A94" s="3" t="inlineStr">
        <is>
          <t>NWC</t>
        </is>
      </c>
      <c r="B94" s="3" t="inlineStr">
        <is>
          <t>200 Breast</t>
        </is>
      </c>
      <c r="C94" s="4" t="inlineStr">
        <is>
          <t>2:00.32</t>
        </is>
      </c>
      <c r="D94" s="4" t="inlineStr">
        <is>
          <t>2:06.18</t>
        </is>
      </c>
      <c r="E94" s="4" t="inlineStr">
        <is>
          <t>2:12.77</t>
        </is>
      </c>
      <c r="F94" s="8" t="n">
        <v>120.32</v>
      </c>
      <c r="G94" s="8" t="n">
        <v>126.18</v>
      </c>
      <c r="H94" s="8" t="n">
        <v>132.77</v>
      </c>
      <c r="I94" s="8" t="n">
        <v>6.590000000000003</v>
      </c>
      <c r="J94" s="8" t="n">
        <v>0.8237500000000004</v>
      </c>
      <c r="K94" t="inlineStr">
        <is>
          <t>NWC|200 Breast</t>
        </is>
      </c>
      <c r="L94" t="n">
        <v>120.32</v>
      </c>
      <c r="M94" t="n">
        <v>126.18</v>
      </c>
      <c r="N94" t="n">
        <v>132.77</v>
      </c>
      <c r="O94" t="n">
        <v>0.8237500000000004</v>
      </c>
    </row>
    <row r="95">
      <c r="A95" s="3" t="inlineStr">
        <is>
          <t>NWC</t>
        </is>
      </c>
      <c r="B95" s="3" t="inlineStr">
        <is>
          <t>100 Fly</t>
        </is>
      </c>
      <c r="C95" s="4" t="inlineStr">
        <is>
          <t>48.66</t>
        </is>
      </c>
      <c r="D95" s="4" t="inlineStr">
        <is>
          <t>50.96</t>
        </is>
      </c>
      <c r="E95" s="4" t="inlineStr">
        <is>
          <t>53.37</t>
        </is>
      </c>
      <c r="F95" s="8" t="n">
        <v>48.66</v>
      </c>
      <c r="G95" s="8" t="n">
        <v>50.96</v>
      </c>
      <c r="H95" s="8" t="n">
        <v>53.37</v>
      </c>
      <c r="I95" s="8" t="n">
        <v>2.409999999999997</v>
      </c>
      <c r="J95" s="8" t="n">
        <v>0.3012499999999996</v>
      </c>
      <c r="K95" t="inlineStr">
        <is>
          <t>NWC|100 Fly</t>
        </is>
      </c>
      <c r="L95" t="n">
        <v>48.66</v>
      </c>
      <c r="M95" t="n">
        <v>50.96</v>
      </c>
      <c r="N95" t="n">
        <v>53.37</v>
      </c>
      <c r="O95" t="n">
        <v>0.3012499999999996</v>
      </c>
    </row>
    <row r="96">
      <c r="A96" s="3" t="inlineStr">
        <is>
          <t>NWC</t>
        </is>
      </c>
      <c r="B96" s="3" t="inlineStr">
        <is>
          <t>200 Fly</t>
        </is>
      </c>
      <c r="C96" s="4" t="inlineStr">
        <is>
          <t>1:47.92</t>
        </is>
      </c>
      <c r="D96" s="4" t="inlineStr">
        <is>
          <t>1:53.85</t>
        </is>
      </c>
      <c r="E96" s="4" t="inlineStr">
        <is>
          <t>2:00.48</t>
        </is>
      </c>
      <c r="F96" s="8" t="n">
        <v>107.92</v>
      </c>
      <c r="G96" s="8" t="n">
        <v>113.85</v>
      </c>
      <c r="H96" s="8" t="n">
        <v>120.48</v>
      </c>
      <c r="I96" s="8" t="n">
        <v>6.63000000000001</v>
      </c>
      <c r="J96" s="8" t="n">
        <v>0.8287500000000012</v>
      </c>
      <c r="K96" t="inlineStr">
        <is>
          <t>NWC|200 Fly</t>
        </is>
      </c>
      <c r="L96" t="n">
        <v>107.92</v>
      </c>
      <c r="M96" t="n">
        <v>113.85</v>
      </c>
      <c r="N96" t="n">
        <v>120.48</v>
      </c>
      <c r="O96" t="n">
        <v>0.8287500000000012</v>
      </c>
    </row>
    <row r="97">
      <c r="A97" s="3" t="inlineStr">
        <is>
          <t>NWC</t>
        </is>
      </c>
      <c r="B97" s="3" t="inlineStr">
        <is>
          <t>200 IM</t>
        </is>
      </c>
      <c r="C97" s="4" t="inlineStr">
        <is>
          <t>1:48.71</t>
        </is>
      </c>
      <c r="D97" s="4" t="inlineStr">
        <is>
          <t>1:52.80</t>
        </is>
      </c>
      <c r="E97" s="4" t="inlineStr">
        <is>
          <t>1:56.42</t>
        </is>
      </c>
      <c r="F97" s="8" t="n">
        <v>108.71</v>
      </c>
      <c r="G97" s="8" t="n">
        <v>112.8</v>
      </c>
      <c r="H97" s="8" t="n">
        <v>116.42</v>
      </c>
      <c r="I97" s="8" t="n">
        <v>3.620000000000005</v>
      </c>
      <c r="J97" s="8" t="n">
        <v>0.4525000000000006</v>
      </c>
      <c r="K97" t="inlineStr">
        <is>
          <t>NWC|200 IM</t>
        </is>
      </c>
      <c r="L97" t="n">
        <v>108.71</v>
      </c>
      <c r="M97" t="n">
        <v>112.8</v>
      </c>
      <c r="N97" t="n">
        <v>116.42</v>
      </c>
      <c r="O97" t="n">
        <v>0.4525000000000006</v>
      </c>
    </row>
    <row r="98">
      <c r="A98" s="3" t="inlineStr">
        <is>
          <t>NWC</t>
        </is>
      </c>
      <c r="B98" s="3" t="inlineStr">
        <is>
          <t>400 IM</t>
        </is>
      </c>
      <c r="C98" s="4" t="inlineStr">
        <is>
          <t>3:52.96</t>
        </is>
      </c>
      <c r="D98" s="4" t="inlineStr">
        <is>
          <t>4:03.92</t>
        </is>
      </c>
      <c r="E98" s="4" t="inlineStr">
        <is>
          <t>4:15.36</t>
        </is>
      </c>
      <c r="F98" s="8" t="n">
        <v>232.96</v>
      </c>
      <c r="G98" s="8" t="n">
        <v>243.92</v>
      </c>
      <c r="H98" s="8" t="n">
        <v>255.36</v>
      </c>
      <c r="I98" s="8" t="n">
        <v>11.44000000000003</v>
      </c>
      <c r="J98" s="8" t="n">
        <v>1.430000000000003</v>
      </c>
      <c r="K98" t="inlineStr">
        <is>
          <t>NWC|400 IM</t>
        </is>
      </c>
      <c r="L98" t="n">
        <v>232.96</v>
      </c>
      <c r="M98" t="n">
        <v>243.92</v>
      </c>
      <c r="N98" t="n">
        <v>255.36</v>
      </c>
      <c r="O98" t="n">
        <v>1.430000000000003</v>
      </c>
    </row>
    <row r="99">
      <c r="A99" s="3" t="inlineStr">
        <is>
          <t>NWC</t>
        </is>
      </c>
      <c r="B99" s="3" t="inlineStr">
        <is>
          <t>50 Breast (Relay Split)</t>
        </is>
      </c>
      <c r="C99" s="4" t="inlineStr">
        <is>
          <t>24.72</t>
        </is>
      </c>
      <c r="D99" s="4" t="inlineStr">
        <is>
          <t>26.38</t>
        </is>
      </c>
      <c r="E99" s="4" t="inlineStr">
        <is>
          <t>27.85</t>
        </is>
      </c>
      <c r="F99" s="8" t="n">
        <v>24.72</v>
      </c>
      <c r="G99" s="8" t="n">
        <v>26.38</v>
      </c>
      <c r="H99" s="8" t="n">
        <v>27.85</v>
      </c>
      <c r="I99" s="8" t="n">
        <v>1.470000000000002</v>
      </c>
      <c r="J99" s="8" t="n">
        <v>0.1837500000000003</v>
      </c>
      <c r="K99" t="inlineStr">
        <is>
          <t>NWC|50 Breast (Relay Split)</t>
        </is>
      </c>
      <c r="L99" t="n">
        <v>24.72</v>
      </c>
      <c r="M99" t="n">
        <v>26.38</v>
      </c>
      <c r="N99" t="n">
        <v>27.85</v>
      </c>
      <c r="O99" t="n">
        <v>0.1837500000000003</v>
      </c>
    </row>
    <row r="100">
      <c r="A100" t="inlineStr">
        <is>
          <t>NESCAC</t>
        </is>
      </c>
      <c r="B100" t="inlineStr">
        <is>
          <t>50 Free</t>
        </is>
      </c>
      <c r="C100" s="2" t="inlineStr">
        <is>
          <t>19.70</t>
        </is>
      </c>
      <c r="D100" s="2" t="inlineStr">
        <is>
          <t>20.55</t>
        </is>
      </c>
      <c r="E100" s="2" t="inlineStr">
        <is>
          <t>21.38</t>
        </is>
      </c>
      <c r="F100" s="8" t="n">
        <v>19.7</v>
      </c>
      <c r="G100" s="8" t="n">
        <v>20.55</v>
      </c>
      <c r="H100" s="8" t="n">
        <v>21.38</v>
      </c>
      <c r="I100" s="8" t="n">
        <v>0.8299999999999983</v>
      </c>
      <c r="J100" s="8" t="n">
        <v>0.1037499999999998</v>
      </c>
      <c r="K100" t="inlineStr">
        <is>
          <t>NESCAC|50 Free</t>
        </is>
      </c>
      <c r="L100" t="n">
        <v>19.7</v>
      </c>
      <c r="M100" t="n">
        <v>20.55</v>
      </c>
      <c r="N100" t="n">
        <v>21.38</v>
      </c>
      <c r="O100" t="n">
        <v>0.1037499999999998</v>
      </c>
    </row>
    <row r="101">
      <c r="A101" t="inlineStr">
        <is>
          <t>NESCAC</t>
        </is>
      </c>
      <c r="B101" t="inlineStr">
        <is>
          <t>100 Free</t>
        </is>
      </c>
      <c r="C101" s="2" t="inlineStr">
        <is>
          <t>43.74</t>
        </is>
      </c>
      <c r="D101" s="2" t="inlineStr">
        <is>
          <t>45.64</t>
        </is>
      </c>
      <c r="E101" s="2" t="inlineStr">
        <is>
          <t>47.12</t>
        </is>
      </c>
      <c r="F101" s="8" t="n">
        <v>43.74</v>
      </c>
      <c r="G101" s="8" t="n">
        <v>45.64</v>
      </c>
      <c r="H101" s="8" t="n">
        <v>47.12</v>
      </c>
      <c r="I101" s="8" t="n">
        <v>1.479999999999997</v>
      </c>
      <c r="J101" s="8" t="n">
        <v>0.1849999999999996</v>
      </c>
      <c r="K101" t="inlineStr">
        <is>
          <t>NESCAC|100 Free</t>
        </is>
      </c>
      <c r="L101" t="n">
        <v>43.74</v>
      </c>
      <c r="M101" t="n">
        <v>45.64</v>
      </c>
      <c r="N101" t="n">
        <v>47.12</v>
      </c>
      <c r="O101" t="n">
        <v>0.1849999999999996</v>
      </c>
    </row>
    <row r="102">
      <c r="A102" t="inlineStr">
        <is>
          <t>NESCAC</t>
        </is>
      </c>
      <c r="B102" t="inlineStr">
        <is>
          <t>200 Free</t>
        </is>
      </c>
      <c r="C102" s="2" t="inlineStr">
        <is>
          <t>1:35.78</t>
        </is>
      </c>
      <c r="D102" s="2" t="inlineStr">
        <is>
          <t>1:39.87</t>
        </is>
      </c>
      <c r="E102" s="2" t="inlineStr">
        <is>
          <t>1:43.55</t>
        </is>
      </c>
      <c r="F102" s="8" t="n">
        <v>95.78</v>
      </c>
      <c r="G102" s="8" t="n">
        <v>99.87</v>
      </c>
      <c r="H102" s="8" t="n">
        <v>103.55</v>
      </c>
      <c r="I102" s="8" t="n">
        <v>3.679999999999993</v>
      </c>
      <c r="J102" s="8" t="n">
        <v>0.4599999999999991</v>
      </c>
      <c r="K102" t="inlineStr">
        <is>
          <t>NESCAC|200 Free</t>
        </is>
      </c>
      <c r="L102" t="n">
        <v>95.78</v>
      </c>
      <c r="M102" t="n">
        <v>99.87</v>
      </c>
      <c r="N102" t="n">
        <v>103.55</v>
      </c>
      <c r="O102" t="n">
        <v>0.4599999999999991</v>
      </c>
    </row>
    <row r="103">
      <c r="A103" t="inlineStr">
        <is>
          <t>NESCAC</t>
        </is>
      </c>
      <c r="B103" t="inlineStr">
        <is>
          <t>500 Free</t>
        </is>
      </c>
      <c r="C103" s="2" t="inlineStr">
        <is>
          <t>4:21.64</t>
        </is>
      </c>
      <c r="D103" s="2" t="inlineStr">
        <is>
          <t>4:34.92</t>
        </is>
      </c>
      <c r="E103" s="2" t="inlineStr">
        <is>
          <t>4:50.06</t>
        </is>
      </c>
      <c r="F103" s="8" t="n">
        <v>261.64</v>
      </c>
      <c r="G103" s="8" t="n">
        <v>274.92</v>
      </c>
      <c r="H103" s="8" t="n">
        <v>290.06</v>
      </c>
      <c r="I103" s="8" t="n">
        <v>15.13999999999999</v>
      </c>
      <c r="J103" s="8" t="n">
        <v>1.892499999999998</v>
      </c>
      <c r="K103" t="inlineStr">
        <is>
          <t>NESCAC|500 Free</t>
        </is>
      </c>
      <c r="L103" t="n">
        <v>261.64</v>
      </c>
      <c r="M103" t="n">
        <v>274.92</v>
      </c>
      <c r="N103" t="n">
        <v>290.06</v>
      </c>
      <c r="O103" t="n">
        <v>1.892499999999998</v>
      </c>
    </row>
    <row r="104">
      <c r="A104" t="inlineStr">
        <is>
          <t>NESCAC</t>
        </is>
      </c>
      <c r="B104" t="inlineStr">
        <is>
          <t>1000 Free</t>
        </is>
      </c>
      <c r="C104" s="2" t="inlineStr">
        <is>
          <t>9:05.11</t>
        </is>
      </c>
      <c r="D104" s="2" t="inlineStr">
        <is>
          <t>9:23.19</t>
        </is>
      </c>
      <c r="E104" s="2" t="inlineStr">
        <is>
          <t>9:49.84</t>
        </is>
      </c>
      <c r="F104" s="8" t="n">
        <v>545.11</v>
      </c>
      <c r="G104" s="8" t="n">
        <v>563.1900000000001</v>
      </c>
      <c r="H104" s="8" t="n">
        <v>589.84</v>
      </c>
      <c r="I104" s="8" t="n">
        <v>26.64999999999998</v>
      </c>
      <c r="J104" s="8" t="n">
        <v>3.331249999999997</v>
      </c>
      <c r="K104" t="inlineStr">
        <is>
          <t>NESCAC|1000 Free</t>
        </is>
      </c>
      <c r="L104" t="n">
        <v>545.11</v>
      </c>
      <c r="M104" t="n">
        <v>563.1900000000001</v>
      </c>
      <c r="N104" t="n">
        <v>589.84</v>
      </c>
      <c r="O104" t="n">
        <v>3.331249999999997</v>
      </c>
    </row>
    <row r="105">
      <c r="A105" t="inlineStr">
        <is>
          <t>NESCAC</t>
        </is>
      </c>
      <c r="B105" t="inlineStr">
        <is>
          <t>1650 Free</t>
        </is>
      </c>
      <c r="C105" s="2" t="inlineStr">
        <is>
          <t>15:08.32</t>
        </is>
      </c>
      <c r="D105" s="2" t="inlineStr">
        <is>
          <t>15:58.14</t>
        </is>
      </c>
      <c r="E105" s="2" t="inlineStr">
        <is>
          <t>16:39.74</t>
        </is>
      </c>
      <c r="F105" s="8" t="n">
        <v>908.3200000000001</v>
      </c>
      <c r="G105" s="8" t="n">
        <v>958.14</v>
      </c>
      <c r="H105" s="8" t="n">
        <v>999.74</v>
      </c>
      <c r="I105" s="8" t="n">
        <v>41.60000000000002</v>
      </c>
      <c r="J105" s="8" t="n">
        <v>5.200000000000003</v>
      </c>
      <c r="K105" t="inlineStr">
        <is>
          <t>NESCAC|1650 Free</t>
        </is>
      </c>
      <c r="L105" t="n">
        <v>908.3200000000001</v>
      </c>
      <c r="M105" t="n">
        <v>958.14</v>
      </c>
      <c r="N105" t="n">
        <v>999.74</v>
      </c>
      <c r="O105" t="n">
        <v>5.200000000000003</v>
      </c>
    </row>
    <row r="106">
      <c r="A106" t="inlineStr">
        <is>
          <t>NESCAC</t>
        </is>
      </c>
      <c r="B106" t="inlineStr">
        <is>
          <t>100 Back</t>
        </is>
      </c>
      <c r="C106" s="2" t="inlineStr">
        <is>
          <t>46.79</t>
        </is>
      </c>
      <c r="D106" s="2" t="inlineStr">
        <is>
          <t>49.45</t>
        </is>
      </c>
      <c r="E106" s="2" t="inlineStr">
        <is>
          <t>51.87</t>
        </is>
      </c>
      <c r="F106" s="8" t="n">
        <v>46.79</v>
      </c>
      <c r="G106" s="8" t="n">
        <v>49.45</v>
      </c>
      <c r="H106" s="8" t="n">
        <v>51.87</v>
      </c>
      <c r="I106" s="8" t="n">
        <v>2.419999999999995</v>
      </c>
      <c r="J106" s="8" t="n">
        <v>0.3024999999999993</v>
      </c>
      <c r="K106" t="inlineStr">
        <is>
          <t>NESCAC|100 Back</t>
        </is>
      </c>
      <c r="L106" t="n">
        <v>46.79</v>
      </c>
      <c r="M106" t="n">
        <v>49.45</v>
      </c>
      <c r="N106" t="n">
        <v>51.87</v>
      </c>
      <c r="O106" t="n">
        <v>0.3024999999999993</v>
      </c>
    </row>
    <row r="107">
      <c r="A107" t="inlineStr">
        <is>
          <t>NESCAC</t>
        </is>
      </c>
      <c r="B107" t="inlineStr">
        <is>
          <t>200 Back</t>
        </is>
      </c>
      <c r="C107" s="2" t="inlineStr">
        <is>
          <t>1:43.66</t>
        </is>
      </c>
      <c r="D107" s="2" t="inlineStr">
        <is>
          <t>1:48.90</t>
        </is>
      </c>
      <c r="E107" s="2" t="inlineStr">
        <is>
          <t>1:54.27</t>
        </is>
      </c>
      <c r="F107" s="8" t="n">
        <v>103.66</v>
      </c>
      <c r="G107" s="8" t="n">
        <v>108.9</v>
      </c>
      <c r="H107" s="8" t="n">
        <v>114.27</v>
      </c>
      <c r="I107" s="8" t="n">
        <v>5.370000000000005</v>
      </c>
      <c r="J107" s="8" t="n">
        <v>0.6712500000000006</v>
      </c>
      <c r="K107" t="inlineStr">
        <is>
          <t>NESCAC|200 Back</t>
        </is>
      </c>
      <c r="L107" t="n">
        <v>103.66</v>
      </c>
      <c r="M107" t="n">
        <v>108.9</v>
      </c>
      <c r="N107" t="n">
        <v>114.27</v>
      </c>
      <c r="O107" t="n">
        <v>0.6712500000000006</v>
      </c>
    </row>
    <row r="108">
      <c r="A108" t="inlineStr">
        <is>
          <t>NESCAC</t>
        </is>
      </c>
      <c r="B108" t="inlineStr">
        <is>
          <t>100 Breast</t>
        </is>
      </c>
      <c r="C108" s="2" t="inlineStr">
        <is>
          <t>53.18</t>
        </is>
      </c>
      <c r="D108" s="2" t="inlineStr">
        <is>
          <t>55.96</t>
        </is>
      </c>
      <c r="E108" s="2" t="inlineStr">
        <is>
          <t>59.20</t>
        </is>
      </c>
      <c r="F108" s="8" t="n">
        <v>53.18</v>
      </c>
      <c r="G108" s="8" t="n">
        <v>55.96</v>
      </c>
      <c r="H108" s="8" t="n">
        <v>59.2</v>
      </c>
      <c r="I108" s="8" t="n">
        <v>3.240000000000002</v>
      </c>
      <c r="J108" s="8" t="n">
        <v>0.4050000000000002</v>
      </c>
      <c r="K108" t="inlineStr">
        <is>
          <t>NESCAC|100 Breast</t>
        </is>
      </c>
      <c r="L108" t="n">
        <v>53.18</v>
      </c>
      <c r="M108" t="n">
        <v>55.96</v>
      </c>
      <c r="N108" t="n">
        <v>59.2</v>
      </c>
      <c r="O108" t="n">
        <v>0.4050000000000002</v>
      </c>
    </row>
    <row r="109">
      <c r="A109" t="inlineStr">
        <is>
          <t>NESCAC</t>
        </is>
      </c>
      <c r="B109" t="inlineStr">
        <is>
          <t>200 Breast</t>
        </is>
      </c>
      <c r="C109" s="2" t="inlineStr">
        <is>
          <t>1:55.81</t>
        </is>
      </c>
      <c r="D109" s="2" t="inlineStr">
        <is>
          <t>2:01.77</t>
        </is>
      </c>
      <c r="E109" s="2" t="inlineStr">
        <is>
          <t>2:07.49</t>
        </is>
      </c>
      <c r="F109" s="8" t="n">
        <v>115.81</v>
      </c>
      <c r="G109" s="8" t="n">
        <v>121.77</v>
      </c>
      <c r="H109" s="8" t="n">
        <v>127.49</v>
      </c>
      <c r="I109" s="8" t="n">
        <v>5.719999999999999</v>
      </c>
      <c r="J109" s="8" t="n">
        <v>0.7149999999999999</v>
      </c>
      <c r="K109" t="inlineStr">
        <is>
          <t>NESCAC|200 Breast</t>
        </is>
      </c>
      <c r="L109" t="n">
        <v>115.81</v>
      </c>
      <c r="M109" t="n">
        <v>121.77</v>
      </c>
      <c r="N109" t="n">
        <v>127.49</v>
      </c>
      <c r="O109" t="n">
        <v>0.7149999999999999</v>
      </c>
    </row>
    <row r="110">
      <c r="A110" t="inlineStr">
        <is>
          <t>NESCAC</t>
        </is>
      </c>
      <c r="B110" t="inlineStr">
        <is>
          <t>100 Fly</t>
        </is>
      </c>
      <c r="C110" s="2" t="inlineStr">
        <is>
          <t>46.60</t>
        </is>
      </c>
      <c r="D110" s="2" t="inlineStr">
        <is>
          <t>49.01</t>
        </is>
      </c>
      <c r="E110" s="2" t="inlineStr">
        <is>
          <t>51.42</t>
        </is>
      </c>
      <c r="F110" s="8" t="n">
        <v>46.6</v>
      </c>
      <c r="G110" s="8" t="n">
        <v>49.01</v>
      </c>
      <c r="H110" s="8" t="n">
        <v>51.42</v>
      </c>
      <c r="I110" s="8" t="n">
        <v>2.410000000000004</v>
      </c>
      <c r="J110" s="8" t="n">
        <v>0.3012500000000005</v>
      </c>
      <c r="K110" t="inlineStr">
        <is>
          <t>NESCAC|100 Fly</t>
        </is>
      </c>
      <c r="L110" t="n">
        <v>46.6</v>
      </c>
      <c r="M110" t="n">
        <v>49.01</v>
      </c>
      <c r="N110" t="n">
        <v>51.42</v>
      </c>
      <c r="O110" t="n">
        <v>0.3012500000000005</v>
      </c>
    </row>
    <row r="111">
      <c r="A111" t="inlineStr">
        <is>
          <t>NESCAC</t>
        </is>
      </c>
      <c r="B111" t="inlineStr">
        <is>
          <t>200 Fly</t>
        </is>
      </c>
      <c r="C111" s="2" t="inlineStr">
        <is>
          <t>1:43.58</t>
        </is>
      </c>
      <c r="D111" s="2" t="inlineStr">
        <is>
          <t>1:49.28</t>
        </is>
      </c>
      <c r="E111" s="2" t="inlineStr">
        <is>
          <t>1:55.40</t>
        </is>
      </c>
      <c r="F111" s="8" t="n">
        <v>103.58</v>
      </c>
      <c r="G111" s="8" t="n">
        <v>109.28</v>
      </c>
      <c r="H111" s="8" t="n">
        <v>115.4</v>
      </c>
      <c r="I111" s="8" t="n">
        <v>6.120000000000005</v>
      </c>
      <c r="J111" s="8" t="n">
        <v>0.7650000000000006</v>
      </c>
      <c r="K111" t="inlineStr">
        <is>
          <t>NESCAC|200 Fly</t>
        </is>
      </c>
      <c r="L111" t="n">
        <v>103.58</v>
      </c>
      <c r="M111" t="n">
        <v>109.28</v>
      </c>
      <c r="N111" t="n">
        <v>115.4</v>
      </c>
      <c r="O111" t="n">
        <v>0.7650000000000006</v>
      </c>
    </row>
    <row r="112">
      <c r="A112" t="inlineStr">
        <is>
          <t>NESCAC</t>
        </is>
      </c>
      <c r="B112" t="inlineStr">
        <is>
          <t>200 IM</t>
        </is>
      </c>
      <c r="C112" s="2" t="inlineStr">
        <is>
          <t>1:44.85</t>
        </is>
      </c>
      <c r="D112" s="2" t="inlineStr">
        <is>
          <t>1:48.63</t>
        </is>
      </c>
      <c r="E112" s="2" t="inlineStr">
        <is>
          <t>1:52.10</t>
        </is>
      </c>
      <c r="F112" s="8" t="n">
        <v>104.85</v>
      </c>
      <c r="G112" s="8" t="n">
        <v>108.63</v>
      </c>
      <c r="H112" s="8" t="n">
        <v>112.1</v>
      </c>
      <c r="I112" s="8" t="n">
        <v>3.469999999999999</v>
      </c>
      <c r="J112" s="8" t="n">
        <v>0.4337499999999999</v>
      </c>
      <c r="K112" t="inlineStr">
        <is>
          <t>NESCAC|200 IM</t>
        </is>
      </c>
      <c r="L112" t="n">
        <v>104.85</v>
      </c>
      <c r="M112" t="n">
        <v>108.63</v>
      </c>
      <c r="N112" t="n">
        <v>112.1</v>
      </c>
      <c r="O112" t="n">
        <v>0.4337499999999999</v>
      </c>
    </row>
    <row r="113">
      <c r="A113" t="inlineStr">
        <is>
          <t>NESCAC</t>
        </is>
      </c>
      <c r="B113" t="inlineStr">
        <is>
          <t>400 IM</t>
        </is>
      </c>
      <c r="C113" s="2" t="inlineStr">
        <is>
          <t>3:43.88</t>
        </is>
      </c>
      <c r="D113" s="2" t="inlineStr">
        <is>
          <t>3:54.72</t>
        </is>
      </c>
      <c r="E113" s="2" t="inlineStr">
        <is>
          <t>4:05.90</t>
        </is>
      </c>
      <c r="F113" s="8" t="n">
        <v>223.88</v>
      </c>
      <c r="G113" s="8" t="n">
        <v>234.72</v>
      </c>
      <c r="H113" s="8" t="n">
        <v>245.9</v>
      </c>
      <c r="I113" s="8" t="n">
        <v>11.18000000000001</v>
      </c>
      <c r="J113" s="8" t="n">
        <v>1.397500000000001</v>
      </c>
      <c r="K113" t="inlineStr">
        <is>
          <t>NESCAC|400 IM</t>
        </is>
      </c>
      <c r="L113" t="n">
        <v>223.88</v>
      </c>
      <c r="M113" t="n">
        <v>234.72</v>
      </c>
      <c r="N113" t="n">
        <v>245.9</v>
      </c>
      <c r="O113" t="n">
        <v>1.397500000000001</v>
      </c>
    </row>
    <row r="114">
      <c r="A114" t="inlineStr">
        <is>
          <t>NESCAC</t>
        </is>
      </c>
      <c r="B114" t="inlineStr">
        <is>
          <t>50 Breast (Relay Split)</t>
        </is>
      </c>
      <c r="C114" s="2" t="inlineStr">
        <is>
          <t>24.31</t>
        </is>
      </c>
      <c r="D114" s="2" t="inlineStr">
        <is>
          <t>25.88</t>
        </is>
      </c>
      <c r="E114" s="2" t="inlineStr">
        <is>
          <t>27.04</t>
        </is>
      </c>
      <c r="F114" s="8" t="n">
        <v>24.31</v>
      </c>
      <c r="G114" s="8" t="n">
        <v>25.88</v>
      </c>
      <c r="H114" s="8" t="n">
        <v>27.04</v>
      </c>
      <c r="I114" s="8" t="n">
        <v>1.16</v>
      </c>
      <c r="J114" s="8" t="n">
        <v>0.145</v>
      </c>
      <c r="K114" t="inlineStr">
        <is>
          <t>NESCAC|50 Breast (Relay Split)</t>
        </is>
      </c>
      <c r="L114" t="n">
        <v>24.31</v>
      </c>
      <c r="M114" t="n">
        <v>25.88</v>
      </c>
      <c r="N114" t="n">
        <v>27.04</v>
      </c>
      <c r="O114" t="n">
        <v>0.145</v>
      </c>
    </row>
    <row r="115">
      <c r="A115" s="3" t="inlineStr">
        <is>
          <t>UAA</t>
        </is>
      </c>
      <c r="B115" s="3" t="inlineStr">
        <is>
          <t>50 Free</t>
        </is>
      </c>
      <c r="C115" s="4" t="inlineStr">
        <is>
          <t>19.33</t>
        </is>
      </c>
      <c r="D115" s="4" t="inlineStr">
        <is>
          <t>20.16</t>
        </is>
      </c>
      <c r="E115" s="4" t="inlineStr">
        <is>
          <t>20.98</t>
        </is>
      </c>
      <c r="F115" s="8" t="n">
        <v>19.33</v>
      </c>
      <c r="G115" s="8" t="n">
        <v>20.16</v>
      </c>
      <c r="H115" s="8" t="n">
        <v>20.98</v>
      </c>
      <c r="I115" s="8" t="n">
        <v>0.8200000000000003</v>
      </c>
      <c r="J115" s="8" t="n">
        <v>0.1025</v>
      </c>
      <c r="K115" t="inlineStr">
        <is>
          <t>UAA|50 Free</t>
        </is>
      </c>
      <c r="L115" t="n">
        <v>19.33</v>
      </c>
      <c r="M115" t="n">
        <v>20.16</v>
      </c>
      <c r="N115" t="n">
        <v>20.98</v>
      </c>
      <c r="O115" t="n">
        <v>0.1025</v>
      </c>
    </row>
    <row r="116">
      <c r="A116" s="3" t="inlineStr">
        <is>
          <t>UAA</t>
        </is>
      </c>
      <c r="B116" s="3" t="inlineStr">
        <is>
          <t>100 Free</t>
        </is>
      </c>
      <c r="C116" s="4" t="inlineStr">
        <is>
          <t>42.85</t>
        </is>
      </c>
      <c r="D116" s="4" t="inlineStr">
        <is>
          <t>44.96</t>
        </is>
      </c>
      <c r="E116" s="4" t="inlineStr">
        <is>
          <t>46.38</t>
        </is>
      </c>
      <c r="F116" s="8" t="n">
        <v>42.85</v>
      </c>
      <c r="G116" s="8" t="n">
        <v>44.96</v>
      </c>
      <c r="H116" s="8" t="n">
        <v>46.38</v>
      </c>
      <c r="I116" s="8" t="n">
        <v>1.420000000000002</v>
      </c>
      <c r="J116" s="8" t="n">
        <v>0.1775000000000002</v>
      </c>
      <c r="K116" t="inlineStr">
        <is>
          <t>UAA|100 Free</t>
        </is>
      </c>
      <c r="L116" t="n">
        <v>42.85</v>
      </c>
      <c r="M116" t="n">
        <v>44.96</v>
      </c>
      <c r="N116" t="n">
        <v>46.38</v>
      </c>
      <c r="O116" t="n">
        <v>0.1775000000000002</v>
      </c>
    </row>
    <row r="117">
      <c r="A117" s="3" t="inlineStr">
        <is>
          <t>UAA</t>
        </is>
      </c>
      <c r="B117" s="3" t="inlineStr">
        <is>
          <t>200 Free</t>
        </is>
      </c>
      <c r="C117" s="4" t="inlineStr">
        <is>
          <t>1:34.28</t>
        </is>
      </c>
      <c r="D117" s="4" t="inlineStr">
        <is>
          <t>1:38.92</t>
        </is>
      </c>
      <c r="E117" s="4" t="inlineStr">
        <is>
          <t>1:42.60</t>
        </is>
      </c>
      <c r="F117" s="8" t="n">
        <v>94.28</v>
      </c>
      <c r="G117" s="8" t="n">
        <v>98.92</v>
      </c>
      <c r="H117" s="8" t="n">
        <v>102.6</v>
      </c>
      <c r="I117" s="8" t="n">
        <v>3.679999999999993</v>
      </c>
      <c r="J117" s="8" t="n">
        <v>0.4599999999999991</v>
      </c>
      <c r="K117" t="inlineStr">
        <is>
          <t>UAA|200 Free</t>
        </is>
      </c>
      <c r="L117" t="n">
        <v>94.28</v>
      </c>
      <c r="M117" t="n">
        <v>98.92</v>
      </c>
      <c r="N117" t="n">
        <v>102.6</v>
      </c>
      <c r="O117" t="n">
        <v>0.4599999999999991</v>
      </c>
    </row>
    <row r="118">
      <c r="A118" s="3" t="inlineStr">
        <is>
          <t>UAA</t>
        </is>
      </c>
      <c r="B118" s="3" t="inlineStr">
        <is>
          <t>500 Free</t>
        </is>
      </c>
      <c r="C118" s="4" t="inlineStr">
        <is>
          <t>4:15.94</t>
        </is>
      </c>
      <c r="D118" s="4" t="inlineStr">
        <is>
          <t>4:30.61</t>
        </is>
      </c>
      <c r="E118" s="4" t="inlineStr">
        <is>
          <t>4:46.03</t>
        </is>
      </c>
      <c r="F118" s="8" t="n">
        <v>255.94</v>
      </c>
      <c r="G118" s="8" t="n">
        <v>270.61</v>
      </c>
      <c r="H118" s="8" t="n">
        <v>286.03</v>
      </c>
      <c r="I118" s="8" t="n">
        <v>15.41999999999996</v>
      </c>
      <c r="J118" s="8" t="n">
        <v>1.927499999999995</v>
      </c>
      <c r="K118" t="inlineStr">
        <is>
          <t>UAA|500 Free</t>
        </is>
      </c>
      <c r="L118" t="n">
        <v>255.94</v>
      </c>
      <c r="M118" t="n">
        <v>270.61</v>
      </c>
      <c r="N118" t="n">
        <v>286.03</v>
      </c>
      <c r="O118" t="n">
        <v>1.927499999999995</v>
      </c>
    </row>
    <row r="119">
      <c r="A119" s="3" t="inlineStr">
        <is>
          <t>UAA</t>
        </is>
      </c>
      <c r="B119" s="3" t="inlineStr">
        <is>
          <t>1650 Free</t>
        </is>
      </c>
      <c r="C119" s="4" t="inlineStr">
        <is>
          <t>14:48.11</t>
        </is>
      </c>
      <c r="D119" s="4" t="inlineStr">
        <is>
          <t>15:33.74</t>
        </is>
      </c>
      <c r="E119" s="4" t="inlineStr">
        <is>
          <t>16:11.82</t>
        </is>
      </c>
      <c r="F119" s="8" t="n">
        <v>888.11</v>
      </c>
      <c r="G119" s="8" t="n">
        <v>933.74</v>
      </c>
      <c r="H119" s="8" t="n">
        <v>971.8200000000001</v>
      </c>
      <c r="I119" s="8" t="n">
        <v>38.08000000000004</v>
      </c>
      <c r="J119" s="8" t="n">
        <v>4.760000000000005</v>
      </c>
      <c r="K119" t="inlineStr">
        <is>
          <t>UAA|1650 Free</t>
        </is>
      </c>
      <c r="L119" t="n">
        <v>888.11</v>
      </c>
      <c r="M119" t="n">
        <v>933.74</v>
      </c>
      <c r="N119" t="n">
        <v>971.8200000000001</v>
      </c>
      <c r="O119" t="n">
        <v>4.760000000000005</v>
      </c>
    </row>
    <row r="120">
      <c r="A120" s="3" t="inlineStr">
        <is>
          <t>UAA</t>
        </is>
      </c>
      <c r="B120" s="3" t="inlineStr">
        <is>
          <t>100 Back</t>
        </is>
      </c>
      <c r="C120" s="4" t="inlineStr">
        <is>
          <t>45.70</t>
        </is>
      </c>
      <c r="D120" s="4" t="inlineStr">
        <is>
          <t>48.30</t>
        </is>
      </c>
      <c r="E120" s="4" t="inlineStr">
        <is>
          <t>50.76</t>
        </is>
      </c>
      <c r="F120" s="8" t="n">
        <v>45.7</v>
      </c>
      <c r="G120" s="8" t="n">
        <v>48.3</v>
      </c>
      <c r="H120" s="8" t="n">
        <v>50.76</v>
      </c>
      <c r="I120" s="8" t="n">
        <v>2.460000000000001</v>
      </c>
      <c r="J120" s="8" t="n">
        <v>0.3075000000000001</v>
      </c>
      <c r="K120" t="inlineStr">
        <is>
          <t>UAA|100 Back</t>
        </is>
      </c>
      <c r="L120" t="n">
        <v>45.7</v>
      </c>
      <c r="M120" t="n">
        <v>48.3</v>
      </c>
      <c r="N120" t="n">
        <v>50.76</v>
      </c>
      <c r="O120" t="n">
        <v>0.3075000000000001</v>
      </c>
    </row>
    <row r="121">
      <c r="A121" s="3" t="inlineStr">
        <is>
          <t>UAA</t>
        </is>
      </c>
      <c r="B121" s="3" t="inlineStr">
        <is>
          <t>200 Back</t>
        </is>
      </c>
      <c r="C121" s="4" t="inlineStr">
        <is>
          <t>1:42.06</t>
        </is>
      </c>
      <c r="D121" s="4" t="inlineStr">
        <is>
          <t>1:47.34</t>
        </is>
      </c>
      <c r="E121" s="4" t="inlineStr">
        <is>
          <t>1:52.63</t>
        </is>
      </c>
      <c r="F121" s="8" t="n">
        <v>102.06</v>
      </c>
      <c r="G121" s="8" t="n">
        <v>107.34</v>
      </c>
      <c r="H121" s="8" t="n">
        <v>112.63</v>
      </c>
      <c r="I121" s="8" t="n">
        <v>5.289999999999992</v>
      </c>
      <c r="J121" s="8" t="n">
        <v>0.661249999999999</v>
      </c>
      <c r="K121" t="inlineStr">
        <is>
          <t>UAA|200 Back</t>
        </is>
      </c>
      <c r="L121" t="n">
        <v>102.06</v>
      </c>
      <c r="M121" t="n">
        <v>107.34</v>
      </c>
      <c r="N121" t="n">
        <v>112.63</v>
      </c>
      <c r="O121" t="n">
        <v>0.661249999999999</v>
      </c>
    </row>
    <row r="122">
      <c r="A122" s="3" t="inlineStr">
        <is>
          <t>UAA</t>
        </is>
      </c>
      <c r="B122" s="3" t="inlineStr">
        <is>
          <t>100 Breast</t>
        </is>
      </c>
      <c r="C122" s="4" t="inlineStr">
        <is>
          <t>52.36</t>
        </is>
      </c>
      <c r="D122" s="4" t="inlineStr">
        <is>
          <t>55.05</t>
        </is>
      </c>
      <c r="E122" s="4" t="inlineStr">
        <is>
          <t>58.18</t>
        </is>
      </c>
      <c r="F122" s="8" t="n">
        <v>52.36</v>
      </c>
      <c r="G122" s="8" t="n">
        <v>55.05</v>
      </c>
      <c r="H122" s="8" t="n">
        <v>58.18</v>
      </c>
      <c r="I122" s="8" t="n">
        <v>3.130000000000003</v>
      </c>
      <c r="J122" s="8" t="n">
        <v>0.3912500000000003</v>
      </c>
      <c r="K122" t="inlineStr">
        <is>
          <t>UAA|100 Breast</t>
        </is>
      </c>
      <c r="L122" t="n">
        <v>52.36</v>
      </c>
      <c r="M122" t="n">
        <v>55.05</v>
      </c>
      <c r="N122" t="n">
        <v>58.18</v>
      </c>
      <c r="O122" t="n">
        <v>0.3912500000000003</v>
      </c>
    </row>
    <row r="123">
      <c r="A123" s="3" t="inlineStr">
        <is>
          <t>UAA</t>
        </is>
      </c>
      <c r="B123" s="3" t="inlineStr">
        <is>
          <t>200 Breast</t>
        </is>
      </c>
      <c r="C123" s="4" t="inlineStr">
        <is>
          <t>1:54.07</t>
        </is>
      </c>
      <c r="D123" s="4" t="inlineStr">
        <is>
          <t>1:59.96</t>
        </is>
      </c>
      <c r="E123" s="4" t="inlineStr">
        <is>
          <t>2:05.22</t>
        </is>
      </c>
      <c r="F123" s="8" t="n">
        <v>114.07</v>
      </c>
      <c r="G123" s="8" t="n">
        <v>119.96</v>
      </c>
      <c r="H123" s="8" t="n">
        <v>125.22</v>
      </c>
      <c r="I123" s="8" t="n">
        <v>5.259999999999991</v>
      </c>
      <c r="J123" s="8" t="n">
        <v>0.6574999999999989</v>
      </c>
      <c r="K123" t="inlineStr">
        <is>
          <t>UAA|200 Breast</t>
        </is>
      </c>
      <c r="L123" t="n">
        <v>114.07</v>
      </c>
      <c r="M123" t="n">
        <v>119.96</v>
      </c>
      <c r="N123" t="n">
        <v>125.22</v>
      </c>
      <c r="O123" t="n">
        <v>0.6574999999999989</v>
      </c>
    </row>
    <row r="124">
      <c r="A124" s="3" t="inlineStr">
        <is>
          <t>UAA</t>
        </is>
      </c>
      <c r="B124" s="3" t="inlineStr">
        <is>
          <t>100 Fly</t>
        </is>
      </c>
      <c r="C124" s="4" t="inlineStr">
        <is>
          <t>45.81</t>
        </is>
      </c>
      <c r="D124" s="4" t="inlineStr">
        <is>
          <t>48.09</t>
        </is>
      </c>
      <c r="E124" s="4" t="inlineStr">
        <is>
          <t>50.24</t>
        </is>
      </c>
      <c r="F124" s="8" t="n">
        <v>45.81</v>
      </c>
      <c r="G124" s="8" t="n">
        <v>48.09</v>
      </c>
      <c r="H124" s="8" t="n">
        <v>50.24</v>
      </c>
      <c r="I124" s="8" t="n">
        <v>2.149999999999999</v>
      </c>
      <c r="J124" s="8" t="n">
        <v>0.2687499999999998</v>
      </c>
      <c r="K124" t="inlineStr">
        <is>
          <t>UAA|100 Fly</t>
        </is>
      </c>
      <c r="L124" t="n">
        <v>45.81</v>
      </c>
      <c r="M124" t="n">
        <v>48.09</v>
      </c>
      <c r="N124" t="n">
        <v>50.24</v>
      </c>
      <c r="O124" t="n">
        <v>0.2687499999999998</v>
      </c>
    </row>
    <row r="125">
      <c r="A125" s="3" t="inlineStr">
        <is>
          <t>UAA</t>
        </is>
      </c>
      <c r="B125" s="3" t="inlineStr">
        <is>
          <t>200 Fly</t>
        </is>
      </c>
      <c r="C125" s="4" t="inlineStr">
        <is>
          <t>1:41.81</t>
        </is>
      </c>
      <c r="D125" s="4" t="inlineStr">
        <is>
          <t>1:47.64</t>
        </is>
      </c>
      <c r="E125" s="4" t="inlineStr">
        <is>
          <t>1:53.33</t>
        </is>
      </c>
      <c r="F125" s="8" t="n">
        <v>101.81</v>
      </c>
      <c r="G125" s="8" t="n">
        <v>107.64</v>
      </c>
      <c r="H125" s="8" t="n">
        <v>113.33</v>
      </c>
      <c r="I125" s="8" t="n">
        <v>5.689999999999998</v>
      </c>
      <c r="J125" s="8" t="n">
        <v>0.7112499999999997</v>
      </c>
      <c r="K125" t="inlineStr">
        <is>
          <t>UAA|200 Fly</t>
        </is>
      </c>
      <c r="L125" t="n">
        <v>101.81</v>
      </c>
      <c r="M125" t="n">
        <v>107.64</v>
      </c>
      <c r="N125" t="n">
        <v>113.33</v>
      </c>
      <c r="O125" t="n">
        <v>0.7112499999999997</v>
      </c>
    </row>
    <row r="126">
      <c r="A126" s="3" t="inlineStr">
        <is>
          <t>UAA</t>
        </is>
      </c>
      <c r="B126" s="3" t="inlineStr">
        <is>
          <t>200 IM</t>
        </is>
      </c>
      <c r="C126" s="4" t="inlineStr">
        <is>
          <t>1:43.09</t>
        </is>
      </c>
      <c r="D126" s="4" t="inlineStr">
        <is>
          <t>1:47.04</t>
        </is>
      </c>
      <c r="E126" s="4" t="inlineStr">
        <is>
          <t>1:50.69</t>
        </is>
      </c>
      <c r="F126" s="8" t="n">
        <v>103.09</v>
      </c>
      <c r="G126" s="8" t="n">
        <v>107.04</v>
      </c>
      <c r="H126" s="8" t="n">
        <v>110.69</v>
      </c>
      <c r="I126" s="8" t="n">
        <v>3.650000000000006</v>
      </c>
      <c r="J126" s="8" t="n">
        <v>0.4562500000000007</v>
      </c>
      <c r="K126" t="inlineStr">
        <is>
          <t>UAA|200 IM</t>
        </is>
      </c>
      <c r="L126" t="n">
        <v>103.09</v>
      </c>
      <c r="M126" t="n">
        <v>107.04</v>
      </c>
      <c r="N126" t="n">
        <v>110.69</v>
      </c>
      <c r="O126" t="n">
        <v>0.4562500000000007</v>
      </c>
    </row>
    <row r="127">
      <c r="A127" s="3" t="inlineStr">
        <is>
          <t>UAA</t>
        </is>
      </c>
      <c r="B127" s="3" t="inlineStr">
        <is>
          <t>400 IM</t>
        </is>
      </c>
      <c r="C127" s="4" t="inlineStr">
        <is>
          <t>3:39.62</t>
        </is>
      </c>
      <c r="D127" s="4" t="inlineStr">
        <is>
          <t>3:50.88</t>
        </is>
      </c>
      <c r="E127" s="4" t="inlineStr">
        <is>
          <t>4:01.97</t>
        </is>
      </c>
      <c r="F127" s="8" t="n">
        <v>219.62</v>
      </c>
      <c r="G127" s="8" t="n">
        <v>230.88</v>
      </c>
      <c r="H127" s="8" t="n">
        <v>241.97</v>
      </c>
      <c r="I127" s="8" t="n">
        <v>11.09</v>
      </c>
      <c r="J127" s="8" t="n">
        <v>1.38625</v>
      </c>
      <c r="K127" t="inlineStr">
        <is>
          <t>UAA|400 IM</t>
        </is>
      </c>
      <c r="L127" t="n">
        <v>219.62</v>
      </c>
      <c r="M127" t="n">
        <v>230.88</v>
      </c>
      <c r="N127" t="n">
        <v>241.97</v>
      </c>
      <c r="O127" t="n">
        <v>1.38625</v>
      </c>
    </row>
    <row r="128">
      <c r="A128" s="3" t="inlineStr">
        <is>
          <t>UAA</t>
        </is>
      </c>
      <c r="B128" s="3" t="inlineStr">
        <is>
          <t>50 Breast (Relay Split)</t>
        </is>
      </c>
      <c r="C128" s="4" t="inlineStr">
        <is>
          <t>23.92</t>
        </is>
      </c>
      <c r="D128" s="4" t="inlineStr">
        <is>
          <t>25.54</t>
        </is>
      </c>
      <c r="E128" s="4" t="inlineStr">
        <is>
          <t>26.88</t>
        </is>
      </c>
      <c r="F128" s="8" t="n">
        <v>23.92</v>
      </c>
      <c r="G128" s="8" t="n">
        <v>25.54</v>
      </c>
      <c r="H128" s="8" t="n">
        <v>26.88</v>
      </c>
      <c r="I128" s="8" t="n">
        <v>1.34</v>
      </c>
      <c r="J128" s="8" t="n">
        <v>0.1675</v>
      </c>
      <c r="K128" t="inlineStr">
        <is>
          <t>UAA|50 Breast (Relay Split)</t>
        </is>
      </c>
      <c r="L128" t="n">
        <v>23.92</v>
      </c>
      <c r="M128" t="n">
        <v>25.54</v>
      </c>
      <c r="N128" t="n">
        <v>26.88</v>
      </c>
      <c r="O128" t="n">
        <v>0.1675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X7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8" customWidth="1" min="2" max="2"/>
    <col width="34" customWidth="1" min="3" max="3"/>
    <col width="11" customWidth="1" min="4" max="4"/>
    <col width="10" customWidth="1" min="5" max="5"/>
    <col width="12" customWidth="1" min="6" max="6"/>
    <col width="40" customWidth="1" min="7" max="7"/>
    <col width="14" customWidth="1" min="8" max="8"/>
    <col width="12" customWidth="1" min="9" max="9"/>
    <col width="15" customWidth="1" min="10" max="10"/>
    <col width="10" customWidth="1" min="11" max="11"/>
    <col width="8" customWidth="1" min="12" max="12"/>
    <col width="18" customWidth="1" min="13" max="13"/>
    <col width="16" customWidth="1" min="14" max="14"/>
    <col width="15" customWidth="1" min="15" max="15"/>
    <col width="14" customWidth="1" min="16" max="16"/>
    <col width="12" customWidth="1" min="17" max="17"/>
    <col width="18" customWidth="1" min="18" max="18"/>
    <col width="20" customWidth="1" min="19" max="19"/>
    <col width="14" customWidth="1" min="20" max="20"/>
    <col width="15" customWidth="1" min="21" max="21"/>
    <col width="11" customWidth="1" min="22" max="22"/>
  </cols>
  <sheetData>
    <row r="1">
      <c r="A1" s="5" t="inlineStr">
        <is>
          <t>Conference</t>
        </is>
      </c>
      <c r="B1" s="5" t="inlineStr">
        <is>
          <t>Finish</t>
        </is>
      </c>
      <c r="C1" s="5" t="inlineStr">
        <is>
          <t>Team</t>
        </is>
      </c>
      <c r="D1" s="5" t="inlineStr">
        <is>
          <t>MenPoints</t>
        </is>
      </c>
      <c r="E1" s="5" t="inlineStr">
        <is>
          <t>Tier</t>
        </is>
      </c>
      <c r="F1" s="5" t="inlineStr">
        <is>
          <t>SourcePage</t>
        </is>
      </c>
      <c r="G1" t="inlineStr">
        <is>
          <t>Key</t>
        </is>
      </c>
      <c r="H1" t="inlineStr">
        <is>
          <t>ChampionPoints</t>
        </is>
      </c>
      <c r="I1" t="inlineStr">
        <is>
          <t>MedianPoints</t>
        </is>
      </c>
      <c r="J1" t="inlineStr">
        <is>
          <t>DominanceIndex</t>
        </is>
      </c>
      <c r="K1" t="inlineStr">
        <is>
          <t>IsChampion</t>
        </is>
      </c>
      <c r="L1" t="inlineStr">
        <is>
          <t>PSF</t>
        </is>
      </c>
      <c r="M1" t="inlineStr">
        <is>
          <t>PowerClass</t>
        </is>
      </c>
      <c r="N1" t="inlineStr">
        <is>
          <t>Conference</t>
        </is>
      </c>
      <c r="O1" t="inlineStr">
        <is>
          <t>DominanceIndex</t>
        </is>
      </c>
      <c r="P1" t="inlineStr">
        <is>
          <t>ChampionPoints</t>
        </is>
      </c>
      <c r="Q1" t="inlineStr">
        <is>
          <t>MedianPoints</t>
        </is>
      </c>
      <c r="R1" t="inlineStr">
        <is>
          <t>ChampionMeetShare</t>
        </is>
      </c>
      <c r="S1" t="inlineStr">
        <is>
          <t>ChampionPowerClass</t>
        </is>
      </c>
      <c r="T1" t="inlineStr">
        <is>
          <t>ChampionRatio</t>
        </is>
      </c>
      <c r="U1" t="inlineStr">
        <is>
          <t>MeetTotalPoints</t>
        </is>
      </c>
      <c r="V1" t="inlineStr">
        <is>
          <t>MeetShare</t>
        </is>
      </c>
    </row>
    <row r="2">
      <c r="A2" s="2" t="inlineStr">
        <is>
          <t>Centennial</t>
        </is>
      </c>
      <c r="B2" s="2" t="n">
        <v>1</v>
      </c>
      <c r="C2" s="6" t="inlineStr">
        <is>
          <t>Johns Hopkins University</t>
        </is>
      </c>
      <c r="D2" s="19" t="n">
        <v>940.5</v>
      </c>
      <c r="E2" s="2" t="inlineStr">
        <is>
          <t>Tier 1</t>
        </is>
      </c>
      <c r="F2" s="2" t="n">
        <v>108</v>
      </c>
      <c r="G2" t="inlineStr">
        <is>
          <t>Centennial|Johns Hopkins University</t>
        </is>
      </c>
      <c r="H2" s="13" t="n">
        <v>940.5</v>
      </c>
      <c r="I2" s="13" t="n">
        <v>294</v>
      </c>
      <c r="J2" s="20" t="n">
        <v>3.198979591836735</v>
      </c>
      <c r="K2" t="n">
        <v>1</v>
      </c>
      <c r="L2" s="13" t="n">
        <v>0.7</v>
      </c>
      <c r="M2" t="inlineStr">
        <is>
          <t>Super Powerhouse</t>
        </is>
      </c>
      <c r="N2" t="inlineStr">
        <is>
          <t>Centennial</t>
        </is>
      </c>
      <c r="O2" s="20" t="n">
        <v>3.198979591836735</v>
      </c>
      <c r="P2" s="13" t="n">
        <v>940.5</v>
      </c>
      <c r="Q2" s="13" t="n">
        <v>294</v>
      </c>
      <c r="R2" s="20" t="n">
        <v>0.2677198975234842</v>
      </c>
      <c r="S2" t="inlineStr">
        <is>
          <t>Super Powerhouse</t>
        </is>
      </c>
      <c r="T2" s="20" t="n">
        <v>1</v>
      </c>
      <c r="U2" s="13" t="n">
        <v>3513</v>
      </c>
      <c r="V2" s="20" t="n">
        <v>0.2677198975234842</v>
      </c>
    </row>
    <row r="3">
      <c r="A3" s="2" t="inlineStr">
        <is>
          <t>Centennial</t>
        </is>
      </c>
      <c r="B3" s="2" t="n">
        <v>2</v>
      </c>
      <c r="C3" s="6" t="inlineStr">
        <is>
          <t>Gettysburg College</t>
        </is>
      </c>
      <c r="D3" s="19" t="n">
        <v>726</v>
      </c>
      <c r="E3" s="2" t="inlineStr">
        <is>
          <t>Tier 2</t>
        </is>
      </c>
      <c r="F3" s="2" t="n">
        <v>108</v>
      </c>
      <c r="G3" t="inlineStr">
        <is>
          <t>Centennial|Gettysburg College</t>
        </is>
      </c>
      <c r="H3" s="13" t="n">
        <v>940.5</v>
      </c>
      <c r="I3" s="13" t="n">
        <v>294</v>
      </c>
      <c r="J3" s="20" t="n">
        <v>3.198979591836735</v>
      </c>
      <c r="K3" t="n">
        <v>0</v>
      </c>
      <c r="L3" s="13" t="n">
        <v>1</v>
      </c>
      <c r="M3" t="inlineStr"/>
      <c r="N3" t="inlineStr">
        <is>
          <t>Liberty League</t>
        </is>
      </c>
      <c r="O3" s="20" t="n">
        <v>2.61503416856492</v>
      </c>
      <c r="P3" s="13" t="n">
        <v>1722</v>
      </c>
      <c r="Q3" s="13" t="n">
        <v>658.5</v>
      </c>
      <c r="R3" s="20" t="n">
        <v>0.2136741531207346</v>
      </c>
      <c r="S3" t="inlineStr">
        <is>
          <t>Super Powerhouse</t>
        </is>
      </c>
      <c r="T3" s="20" t="n">
        <v>0.7719298245614035</v>
      </c>
      <c r="U3" s="13" t="n">
        <v>3513</v>
      </c>
      <c r="V3" s="20" t="n">
        <v>0.2066609735269001</v>
      </c>
    </row>
    <row r="4">
      <c r="A4" s="2" t="inlineStr">
        <is>
          <t>Centennial</t>
        </is>
      </c>
      <c r="B4" s="2" t="n">
        <v>3</v>
      </c>
      <c r="C4" s="6" t="inlineStr">
        <is>
          <t>Swarthmore College</t>
        </is>
      </c>
      <c r="D4" s="19" t="n">
        <v>675</v>
      </c>
      <c r="E4" s="2" t="inlineStr">
        <is>
          <t>Tier 2</t>
        </is>
      </c>
      <c r="F4" s="2" t="n">
        <v>108</v>
      </c>
      <c r="G4" t="inlineStr">
        <is>
          <t>Centennial|Swarthmore College</t>
        </is>
      </c>
      <c r="H4" s="13" t="n">
        <v>940.5</v>
      </c>
      <c r="I4" s="13" t="n">
        <v>294</v>
      </c>
      <c r="J4" s="20" t="n">
        <v>3.198979591836735</v>
      </c>
      <c r="K4" t="n">
        <v>0</v>
      </c>
      <c r="L4" s="13" t="n">
        <v>1</v>
      </c>
      <c r="M4" t="inlineStr"/>
      <c r="N4" t="inlineStr">
        <is>
          <t>NCAC</t>
        </is>
      </c>
      <c r="O4" s="20" t="n">
        <v>1.901456310679612</v>
      </c>
      <c r="P4" s="13" t="n">
        <v>1958.5</v>
      </c>
      <c r="Q4" s="13" t="n">
        <v>1030</v>
      </c>
      <c r="R4" s="20" t="n">
        <v>0.2125108506944444</v>
      </c>
      <c r="S4" t="inlineStr">
        <is>
          <t>Powerhouse</t>
        </is>
      </c>
      <c r="T4" s="20" t="n">
        <v>0.7177033492822966</v>
      </c>
      <c r="U4" s="13" t="n">
        <v>3513</v>
      </c>
      <c r="V4" s="20" t="n">
        <v>0.1921434671221179</v>
      </c>
    </row>
    <row r="5">
      <c r="A5" s="2" t="inlineStr">
        <is>
          <t>Centennial</t>
        </is>
      </c>
      <c r="B5" s="2" t="n">
        <v>4</v>
      </c>
      <c r="C5" s="6" t="inlineStr">
        <is>
          <t>Dickinson College</t>
        </is>
      </c>
      <c r="D5" s="19" t="n">
        <v>311</v>
      </c>
      <c r="E5" s="2" t="inlineStr">
        <is>
          <t>Tier 4</t>
        </is>
      </c>
      <c r="F5" s="2" t="n">
        <v>108</v>
      </c>
      <c r="G5" t="inlineStr">
        <is>
          <t>Centennial|Dickinson College</t>
        </is>
      </c>
      <c r="H5" s="13" t="n">
        <v>940.5</v>
      </c>
      <c r="I5" s="13" t="n">
        <v>294</v>
      </c>
      <c r="J5" s="20" t="n">
        <v>3.198979591836735</v>
      </c>
      <c r="K5" t="n">
        <v>0</v>
      </c>
      <c r="L5" s="13" t="n">
        <v>1.2</v>
      </c>
      <c r="M5" t="inlineStr"/>
      <c r="N5" t="inlineStr">
        <is>
          <t>NESCAC</t>
        </is>
      </c>
      <c r="O5" s="20" t="n">
        <v>1.997501561524047</v>
      </c>
      <c r="P5" s="13" t="n">
        <v>1599</v>
      </c>
      <c r="Q5" s="13" t="n">
        <v>800.5</v>
      </c>
      <c r="R5" s="20" t="n">
        <v>0.1589463220675944</v>
      </c>
      <c r="S5" t="inlineStr">
        <is>
          <t>Powerhouse</t>
        </is>
      </c>
      <c r="T5" s="20" t="n">
        <v>0.330675172780436</v>
      </c>
      <c r="U5" s="13" t="n">
        <v>3513</v>
      </c>
      <c r="V5" s="20" t="n">
        <v>0.08852832337033874</v>
      </c>
    </row>
    <row r="6">
      <c r="A6" s="2" t="inlineStr">
        <is>
          <t>Centennial</t>
        </is>
      </c>
      <c r="B6" s="2" t="n">
        <v>5</v>
      </c>
      <c r="C6" s="6" t="inlineStr">
        <is>
          <t>Franklin &amp; Marshall College</t>
        </is>
      </c>
      <c r="D6" s="19" t="n">
        <v>277</v>
      </c>
      <c r="E6" s="2" t="inlineStr">
        <is>
          <t>Tier 4</t>
        </is>
      </c>
      <c r="F6" s="2" t="n">
        <v>108</v>
      </c>
      <c r="G6" t="inlineStr">
        <is>
          <t>Centennial|Franklin &amp; Marshall College</t>
        </is>
      </c>
      <c r="H6" s="13" t="n">
        <v>940.5</v>
      </c>
      <c r="I6" s="13" t="n">
        <v>294</v>
      </c>
      <c r="J6" s="20" t="n">
        <v>3.198979591836735</v>
      </c>
      <c r="K6" t="n">
        <v>0</v>
      </c>
      <c r="L6" s="13" t="n">
        <v>1.2</v>
      </c>
      <c r="M6" t="inlineStr"/>
      <c r="N6" t="inlineStr">
        <is>
          <t>NEWMAC</t>
        </is>
      </c>
      <c r="O6" s="20" t="n">
        <v>2.140895953757226</v>
      </c>
      <c r="P6" s="13" t="n">
        <v>1481.5</v>
      </c>
      <c r="Q6" s="13" t="n">
        <v>692</v>
      </c>
      <c r="R6" s="20" t="n">
        <v>0.2833779648048967</v>
      </c>
      <c r="S6" t="inlineStr">
        <is>
          <t>Super Powerhouse</t>
        </is>
      </c>
      <c r="T6" s="20" t="n">
        <v>0.2945241892610314</v>
      </c>
      <c r="U6" s="13" t="n">
        <v>3513</v>
      </c>
      <c r="V6" s="20" t="n">
        <v>0.07884998576715058</v>
      </c>
    </row>
    <row r="7">
      <c r="A7" s="2" t="inlineStr">
        <is>
          <t>Centennial</t>
        </is>
      </c>
      <c r="B7" s="2" t="n">
        <v>6</v>
      </c>
      <c r="C7" s="6" t="inlineStr">
        <is>
          <t>Ursinus College</t>
        </is>
      </c>
      <c r="D7" s="19" t="n">
        <v>229</v>
      </c>
      <c r="E7" s="2" t="inlineStr">
        <is>
          <t>Tier 4</t>
        </is>
      </c>
      <c r="F7" s="2" t="n">
        <v>108</v>
      </c>
      <c r="G7" t="inlineStr">
        <is>
          <t>Centennial|Ursinus College</t>
        </is>
      </c>
      <c r="H7" s="13" t="n">
        <v>940.5</v>
      </c>
      <c r="I7" s="13" t="n">
        <v>294</v>
      </c>
      <c r="J7" s="20" t="n">
        <v>3.198979591836735</v>
      </c>
      <c r="K7" t="n">
        <v>0</v>
      </c>
      <c r="L7" s="13" t="n">
        <v>1.2</v>
      </c>
      <c r="M7" t="inlineStr"/>
      <c r="N7" t="inlineStr">
        <is>
          <t>NWC</t>
        </is>
      </c>
      <c r="O7" s="20" t="n">
        <v>2.573529411764706</v>
      </c>
      <c r="P7" s="13" t="n">
        <v>875</v>
      </c>
      <c r="Q7" s="13" t="n">
        <v>340</v>
      </c>
      <c r="R7" s="20" t="n">
        <v>0.2738654147104851</v>
      </c>
      <c r="S7" t="inlineStr">
        <is>
          <t>Super Powerhouse</t>
        </is>
      </c>
      <c r="T7" s="20" t="n">
        <v>0.2434875066454014</v>
      </c>
      <c r="U7" s="13" t="n">
        <v>3513</v>
      </c>
      <c r="V7" s="20" t="n">
        <v>0.06518645032735554</v>
      </c>
    </row>
    <row r="8">
      <c r="A8" s="2" t="inlineStr">
        <is>
          <t>Centennial</t>
        </is>
      </c>
      <c r="B8" s="2" t="n">
        <v>7</v>
      </c>
      <c r="C8" s="6" t="inlineStr">
        <is>
          <t>Washington College</t>
        </is>
      </c>
      <c r="D8" s="19" t="n">
        <v>219.5</v>
      </c>
      <c r="E8" s="2" t="inlineStr">
        <is>
          <t>Tier 4</t>
        </is>
      </c>
      <c r="F8" s="2" t="n">
        <v>108</v>
      </c>
      <c r="G8" t="inlineStr">
        <is>
          <t>Centennial|Washington College</t>
        </is>
      </c>
      <c r="H8" s="13" t="n">
        <v>940.5</v>
      </c>
      <c r="I8" s="13" t="n">
        <v>294</v>
      </c>
      <c r="J8" s="20" t="n">
        <v>3.198979591836735</v>
      </c>
      <c r="K8" t="n">
        <v>0</v>
      </c>
      <c r="L8" s="13" t="n">
        <v>1.2</v>
      </c>
      <c r="M8" t="inlineStr"/>
      <c r="N8" t="inlineStr">
        <is>
          <t>SCIAC</t>
        </is>
      </c>
      <c r="O8" s="20" t="n">
        <v>2.615602836879432</v>
      </c>
      <c r="P8" s="13" t="n">
        <v>922</v>
      </c>
      <c r="Q8" s="13" t="n">
        <v>352.5</v>
      </c>
      <c r="R8" s="20" t="n">
        <v>0.2346653092389921</v>
      </c>
      <c r="S8" t="inlineStr">
        <is>
          <t>Super Powerhouse</t>
        </is>
      </c>
      <c r="T8" s="20" t="n">
        <v>0.2333864965443913</v>
      </c>
      <c r="U8" s="13" t="n">
        <v>3513</v>
      </c>
      <c r="V8" s="20" t="n">
        <v>0.06248220893822944</v>
      </c>
    </row>
    <row r="9">
      <c r="A9" s="2" t="inlineStr">
        <is>
          <t>Centennial</t>
        </is>
      </c>
      <c r="B9" s="2" t="n">
        <v>8</v>
      </c>
      <c r="C9" s="6" t="inlineStr">
        <is>
          <t>McDaniel College Swim Team</t>
        </is>
      </c>
      <c r="D9" s="19" t="n">
        <v>135</v>
      </c>
      <c r="E9" s="2" t="inlineStr">
        <is>
          <t>Tier 4</t>
        </is>
      </c>
      <c r="F9" s="2" t="n">
        <v>108</v>
      </c>
      <c r="G9" t="inlineStr">
        <is>
          <t>Centennial|McDaniel College Swim Team</t>
        </is>
      </c>
      <c r="H9" s="13" t="n">
        <v>940.5</v>
      </c>
      <c r="I9" s="13" t="n">
        <v>294</v>
      </c>
      <c r="J9" s="20" t="n">
        <v>3.198979591836735</v>
      </c>
      <c r="K9" t="n">
        <v>0</v>
      </c>
      <c r="L9" s="13" t="n">
        <v>1.2</v>
      </c>
      <c r="M9" t="inlineStr"/>
      <c r="N9" t="inlineStr">
        <is>
          <t>UAA</t>
        </is>
      </c>
      <c r="O9" s="20" t="n">
        <v>1.657764121956984</v>
      </c>
      <c r="P9" s="13" t="n">
        <v>1753.5</v>
      </c>
      <c r="Q9" s="13" t="n">
        <v>1057.75</v>
      </c>
      <c r="R9" s="20" t="n">
        <v>0.2052557649537633</v>
      </c>
      <c r="S9" t="inlineStr">
        <is>
          <t>Powerhouse</t>
        </is>
      </c>
      <c r="T9" s="20" t="n">
        <v>0.1435406698564593</v>
      </c>
      <c r="U9" s="13" t="n">
        <v>3513</v>
      </c>
      <c r="V9" s="20" t="n">
        <v>0.03842869342442357</v>
      </c>
    </row>
    <row r="10">
      <c r="A10" s="2" t="inlineStr">
        <is>
          <t>Liberty League</t>
        </is>
      </c>
      <c r="B10" s="2" t="n">
        <v>1</v>
      </c>
      <c r="C10" s="6" t="inlineStr">
        <is>
          <t>Ithaca College</t>
        </is>
      </c>
      <c r="D10" s="19" t="n">
        <v>1722</v>
      </c>
      <c r="E10" s="2" t="inlineStr">
        <is>
          <t>Tier 1</t>
        </is>
      </c>
      <c r="F10" s="2" t="n">
        <v>113</v>
      </c>
      <c r="G10" t="inlineStr">
        <is>
          <t>Liberty League|Ithaca College</t>
        </is>
      </c>
      <c r="H10" s="13" t="n">
        <v>1722</v>
      </c>
      <c r="I10" s="13" t="n">
        <v>658.5</v>
      </c>
      <c r="J10" s="20" t="n">
        <v>2.61503416856492</v>
      </c>
      <c r="K10" t="n">
        <v>1</v>
      </c>
      <c r="L10" s="13" t="n">
        <v>0.7</v>
      </c>
      <c r="M10" t="inlineStr">
        <is>
          <t>Super Powerhouse</t>
        </is>
      </c>
      <c r="N10" t="inlineStr">
        <is>
          <t>MIAC</t>
        </is>
      </c>
      <c r="O10" s="20" t="n">
        <v>1.865883504650024</v>
      </c>
      <c r="P10" s="13" t="n">
        <v>953</v>
      </c>
      <c r="Q10" s="13" t="n">
        <v>510.75</v>
      </c>
      <c r="R10" s="20" t="n">
        <v>0.2968847352024922</v>
      </c>
      <c r="S10" t="inlineStr">
        <is>
          <t>Super Powerhouse</t>
        </is>
      </c>
      <c r="T10" s="20" t="n">
        <v>1</v>
      </c>
      <c r="U10" s="13" t="n">
        <v>8059</v>
      </c>
      <c r="V10" s="20" t="n">
        <v>0.2136741531207346</v>
      </c>
    </row>
    <row r="11">
      <c r="A11" s="2" t="inlineStr">
        <is>
          <t>Liberty League</t>
        </is>
      </c>
      <c r="B11" s="2" t="n">
        <v>2</v>
      </c>
      <c r="C11" s="6" t="inlineStr">
        <is>
          <t>Rochester Institute of Technol</t>
        </is>
      </c>
      <c r="D11" s="19" t="n">
        <v>1625.5</v>
      </c>
      <c r="E11" s="2" t="inlineStr">
        <is>
          <t>Tier 1</t>
        </is>
      </c>
      <c r="F11" s="2" t="n">
        <v>113</v>
      </c>
      <c r="G11" t="inlineStr">
        <is>
          <t>Liberty League|Rochester Institute of Technol</t>
        </is>
      </c>
      <c r="H11" s="13" t="n">
        <v>1722</v>
      </c>
      <c r="I11" s="13" t="n">
        <v>658.5</v>
      </c>
      <c r="J11" s="20" t="n">
        <v>2.61503416856492</v>
      </c>
      <c r="K11" t="n">
        <v>0</v>
      </c>
      <c r="L11" s="13" t="n">
        <v>0.78</v>
      </c>
      <c r="M11" t="inlineStr">
        <is>
          <t>Powerhouse</t>
        </is>
      </c>
      <c r="O11" s="20" t="n"/>
      <c r="P11" s="13" t="n"/>
      <c r="Q11" s="13" t="n"/>
      <c r="R11" s="20" t="n"/>
      <c r="T11" s="20" t="n">
        <v>0.9439605110336817</v>
      </c>
      <c r="U11" s="13" t="n">
        <v>8059</v>
      </c>
      <c r="V11" s="20" t="n">
        <v>0.2016999627745378</v>
      </c>
    </row>
    <row r="12">
      <c r="A12" s="2" t="inlineStr">
        <is>
          <t>Liberty League</t>
        </is>
      </c>
      <c r="B12" s="2" t="n">
        <v>3</v>
      </c>
      <c r="C12" s="6" t="inlineStr">
        <is>
          <t>Rensselaer Polytechnic Institu</t>
        </is>
      </c>
      <c r="D12" s="19" t="n">
        <v>1085</v>
      </c>
      <c r="E12" s="2" t="inlineStr">
        <is>
          <t>Tier 2</t>
        </is>
      </c>
      <c r="F12" s="2" t="n">
        <v>113</v>
      </c>
      <c r="G12" t="inlineStr">
        <is>
          <t>Liberty League|Rensselaer Polytechnic Institu</t>
        </is>
      </c>
      <c r="H12" s="13" t="n">
        <v>1722</v>
      </c>
      <c r="I12" s="13" t="n">
        <v>658.5</v>
      </c>
      <c r="J12" s="20" t="n">
        <v>2.61503416856492</v>
      </c>
      <c r="K12" t="n">
        <v>0</v>
      </c>
      <c r="L12" s="13" t="n">
        <v>1</v>
      </c>
      <c r="M12" t="inlineStr"/>
      <c r="O12" s="20" t="n"/>
      <c r="P12" s="13" t="n"/>
      <c r="Q12" s="13" t="n"/>
      <c r="R12" s="20" t="n"/>
      <c r="T12" s="20" t="n">
        <v>0.6300813008130082</v>
      </c>
      <c r="U12" s="13" t="n">
        <v>8059</v>
      </c>
      <c r="V12" s="20" t="n">
        <v>0.1346320883484303</v>
      </c>
    </row>
    <row r="13">
      <c r="A13" s="2" t="inlineStr">
        <is>
          <t>Liberty League</t>
        </is>
      </c>
      <c r="B13" s="2" t="n">
        <v>4</v>
      </c>
      <c r="C13" s="6" t="inlineStr">
        <is>
          <t>Clarkson University</t>
        </is>
      </c>
      <c r="D13" s="19" t="n">
        <v>1028.5</v>
      </c>
      <c r="E13" s="2" t="inlineStr">
        <is>
          <t>Tier 3</t>
        </is>
      </c>
      <c r="F13" s="2" t="n">
        <v>113</v>
      </c>
      <c r="G13" t="inlineStr">
        <is>
          <t>Liberty League|Clarkson University</t>
        </is>
      </c>
      <c r="H13" s="13" t="n">
        <v>1722</v>
      </c>
      <c r="I13" s="13" t="n">
        <v>658.5</v>
      </c>
      <c r="J13" s="20" t="n">
        <v>2.61503416856492</v>
      </c>
      <c r="K13" t="n">
        <v>0</v>
      </c>
      <c r="L13" s="13" t="n">
        <v>1.1</v>
      </c>
      <c r="M13" t="inlineStr"/>
      <c r="O13" s="20" t="n"/>
      <c r="P13" s="13" t="n"/>
      <c r="Q13" s="13" t="n"/>
      <c r="R13" s="20" t="n"/>
      <c r="T13" s="20" t="n">
        <v>0.5972706155632985</v>
      </c>
      <c r="U13" s="13" t="n">
        <v>8059</v>
      </c>
      <c r="V13" s="20" t="n">
        <v>0.1276212929643877</v>
      </c>
    </row>
    <row r="14">
      <c r="A14" s="2" t="inlineStr">
        <is>
          <t>Liberty League</t>
        </is>
      </c>
      <c r="B14" s="2" t="n">
        <v>5</v>
      </c>
      <c r="C14" s="6" t="inlineStr">
        <is>
          <t>Union College (New York)</t>
        </is>
      </c>
      <c r="D14" s="19" t="n">
        <v>686.5</v>
      </c>
      <c r="E14" s="2" t="inlineStr">
        <is>
          <t>Tier 3</t>
        </is>
      </c>
      <c r="F14" s="2" t="n">
        <v>113</v>
      </c>
      <c r="G14" t="inlineStr">
        <is>
          <t>Liberty League|Union College (New York)</t>
        </is>
      </c>
      <c r="H14" s="13" t="n">
        <v>1722</v>
      </c>
      <c r="I14" s="13" t="n">
        <v>658.5</v>
      </c>
      <c r="J14" s="20" t="n">
        <v>2.61503416856492</v>
      </c>
      <c r="K14" t="n">
        <v>0</v>
      </c>
      <c r="L14" s="13" t="n">
        <v>1.1</v>
      </c>
      <c r="M14" t="inlineStr"/>
      <c r="O14" s="20" t="n"/>
      <c r="P14" s="13" t="n"/>
      <c r="Q14" s="13" t="n"/>
      <c r="R14" s="20" t="n"/>
      <c r="T14" s="20" t="n">
        <v>0.398664343786295</v>
      </c>
      <c r="U14" s="13" t="n">
        <v>8059</v>
      </c>
      <c r="V14" s="20" t="n">
        <v>0.08518426603796997</v>
      </c>
    </row>
    <row r="15">
      <c r="A15" s="2" t="inlineStr">
        <is>
          <t>Liberty League</t>
        </is>
      </c>
      <c r="B15" s="2" t="n">
        <v>6</v>
      </c>
      <c r="C15" s="6" t="inlineStr">
        <is>
          <t>Skidmore College</t>
        </is>
      </c>
      <c r="D15" s="19" t="n">
        <v>630.5</v>
      </c>
      <c r="E15" s="2" t="inlineStr">
        <is>
          <t>Tier 3</t>
        </is>
      </c>
      <c r="F15" s="2" t="n">
        <v>113</v>
      </c>
      <c r="G15" t="inlineStr">
        <is>
          <t>Liberty League|Skidmore College</t>
        </is>
      </c>
      <c r="H15" s="13" t="n">
        <v>1722</v>
      </c>
      <c r="I15" s="13" t="n">
        <v>658.5</v>
      </c>
      <c r="J15" s="20" t="n">
        <v>2.61503416856492</v>
      </c>
      <c r="K15" t="n">
        <v>0</v>
      </c>
      <c r="L15" s="13" t="n">
        <v>1.1</v>
      </c>
      <c r="M15" t="inlineStr"/>
      <c r="O15" s="20" t="n"/>
      <c r="P15" s="13" t="n"/>
      <c r="Q15" s="13" t="n"/>
      <c r="R15" s="20" t="n"/>
      <c r="T15" s="20" t="n">
        <v>0.366144018583043</v>
      </c>
      <c r="U15" s="13" t="n">
        <v>8059</v>
      </c>
      <c r="V15" s="20" t="n">
        <v>0.07823551309095421</v>
      </c>
    </row>
    <row r="16">
      <c r="A16" s="2" t="inlineStr">
        <is>
          <t>Liberty League</t>
        </is>
      </c>
      <c r="B16" s="2" t="n">
        <v>7</v>
      </c>
      <c r="C16" s="6" t="inlineStr">
        <is>
          <t>Vassar College</t>
        </is>
      </c>
      <c r="D16" s="19" t="n">
        <v>522</v>
      </c>
      <c r="E16" s="2" t="inlineStr">
        <is>
          <t>Tier 4</t>
        </is>
      </c>
      <c r="F16" s="2" t="n">
        <v>113</v>
      </c>
      <c r="G16" t="inlineStr">
        <is>
          <t>Liberty League|Vassar College</t>
        </is>
      </c>
      <c r="H16" s="13" t="n">
        <v>1722</v>
      </c>
      <c r="I16" s="13" t="n">
        <v>658.5</v>
      </c>
      <c r="J16" s="20" t="n">
        <v>2.61503416856492</v>
      </c>
      <c r="K16" t="n">
        <v>0</v>
      </c>
      <c r="L16" s="13" t="n">
        <v>1.2</v>
      </c>
      <c r="M16" t="inlineStr"/>
      <c r="O16" s="20" t="n"/>
      <c r="P16" s="13" t="n"/>
      <c r="Q16" s="13" t="n"/>
      <c r="R16" s="20" t="n"/>
      <c r="T16" s="20" t="n">
        <v>0.3031358885017422</v>
      </c>
      <c r="U16" s="13" t="n">
        <v>8059</v>
      </c>
      <c r="V16" s="20" t="n">
        <v>0.06477230425611118</v>
      </c>
    </row>
    <row r="17">
      <c r="A17" s="2" t="inlineStr">
        <is>
          <t>Liberty League</t>
        </is>
      </c>
      <c r="B17" s="2" t="n">
        <v>8</v>
      </c>
      <c r="C17" s="6" t="inlineStr">
        <is>
          <t>St. Lawrence University</t>
        </is>
      </c>
      <c r="D17" s="19" t="n">
        <v>325</v>
      </c>
      <c r="E17" s="2" t="inlineStr">
        <is>
          <t>Tier 4</t>
        </is>
      </c>
      <c r="F17" s="2" t="n">
        <v>113</v>
      </c>
      <c r="G17" t="inlineStr">
        <is>
          <t>Liberty League|St. Lawrence University</t>
        </is>
      </c>
      <c r="H17" s="13" t="n">
        <v>1722</v>
      </c>
      <c r="I17" s="13" t="n">
        <v>658.5</v>
      </c>
      <c r="J17" s="20" t="n">
        <v>2.61503416856492</v>
      </c>
      <c r="K17" t="n">
        <v>0</v>
      </c>
      <c r="L17" s="13" t="n">
        <v>1.2</v>
      </c>
      <c r="M17" t="inlineStr"/>
      <c r="O17" s="20" t="n"/>
      <c r="P17" s="13" t="n"/>
      <c r="Q17" s="13" t="n"/>
      <c r="R17" s="20" t="n"/>
      <c r="T17" s="20" t="n">
        <v>0.1887340301974448</v>
      </c>
      <c r="U17" s="13" t="n">
        <v>8059</v>
      </c>
      <c r="V17" s="20" t="n">
        <v>0.04032758406750217</v>
      </c>
    </row>
    <row r="18">
      <c r="A18" s="2" t="inlineStr">
        <is>
          <t>Liberty League</t>
        </is>
      </c>
      <c r="B18" s="2" t="n">
        <v>9</v>
      </c>
      <c r="C18" s="6" t="inlineStr">
        <is>
          <t>Hobart and William Smith</t>
        </is>
      </c>
      <c r="D18" s="19" t="n">
        <v>272</v>
      </c>
      <c r="E18" s="2" t="inlineStr">
        <is>
          <t>Tier 4</t>
        </is>
      </c>
      <c r="F18" s="2" t="n">
        <v>113</v>
      </c>
      <c r="G18" t="inlineStr">
        <is>
          <t>Liberty League|Hobart and William Smith</t>
        </is>
      </c>
      <c r="H18" s="13" t="n">
        <v>1722</v>
      </c>
      <c r="I18" s="13" t="n">
        <v>658.5</v>
      </c>
      <c r="J18" s="20" t="n">
        <v>2.61503416856492</v>
      </c>
      <c r="K18" t="n">
        <v>0</v>
      </c>
      <c r="L18" s="13" t="n">
        <v>1.2</v>
      </c>
      <c r="M18" t="inlineStr"/>
      <c r="O18" s="20" t="n"/>
      <c r="P18" s="13" t="n"/>
      <c r="Q18" s="13" t="n"/>
      <c r="R18" s="20" t="n"/>
      <c r="T18" s="20" t="n">
        <v>0.1579558652729385</v>
      </c>
      <c r="U18" s="13" t="n">
        <v>8059</v>
      </c>
      <c r="V18" s="20" t="n">
        <v>0.03375108574264797</v>
      </c>
    </row>
    <row r="19">
      <c r="A19" s="2" t="inlineStr">
        <is>
          <t>Liberty League</t>
        </is>
      </c>
      <c r="B19" s="2" t="n">
        <v>10</v>
      </c>
      <c r="C19" s="6" t="inlineStr">
        <is>
          <t>Bard College</t>
        </is>
      </c>
      <c r="D19" s="19" t="n">
        <v>162</v>
      </c>
      <c r="E19" s="2" t="inlineStr">
        <is>
          <t>Tier 4</t>
        </is>
      </c>
      <c r="F19" s="2" t="n">
        <v>113</v>
      </c>
      <c r="G19" t="inlineStr">
        <is>
          <t>Liberty League|Bard College</t>
        </is>
      </c>
      <c r="H19" s="13" t="n">
        <v>1722</v>
      </c>
      <c r="I19" s="13" t="n">
        <v>658.5</v>
      </c>
      <c r="J19" s="20" t="n">
        <v>2.61503416856492</v>
      </c>
      <c r="K19" t="n">
        <v>0</v>
      </c>
      <c r="L19" s="13" t="n">
        <v>1.2</v>
      </c>
      <c r="M19" t="inlineStr"/>
      <c r="O19" s="20" t="n"/>
      <c r="P19" s="13" t="n"/>
      <c r="Q19" s="13" t="n"/>
      <c r="R19" s="20" t="n"/>
      <c r="T19" s="20" t="n">
        <v>0.09407665505226481</v>
      </c>
      <c r="U19" s="13" t="n">
        <v>8059</v>
      </c>
      <c r="V19" s="20" t="n">
        <v>0.02010174959672416</v>
      </c>
    </row>
    <row r="20">
      <c r="A20" s="2" t="inlineStr">
        <is>
          <t>NCAC</t>
        </is>
      </c>
      <c r="B20" s="2" t="n">
        <v>1</v>
      </c>
      <c r="C20" s="6" t="inlineStr">
        <is>
          <t>Denison University</t>
        </is>
      </c>
      <c r="D20" s="19" t="n">
        <v>1958.5</v>
      </c>
      <c r="E20" s="2" t="inlineStr">
        <is>
          <t>Tier 1</t>
        </is>
      </c>
      <c r="F20" s="2" t="n">
        <v>127</v>
      </c>
      <c r="G20" t="inlineStr">
        <is>
          <t>NCAC|Denison University</t>
        </is>
      </c>
      <c r="H20" s="13" t="n">
        <v>1958.5</v>
      </c>
      <c r="I20" s="13" t="n">
        <v>1030</v>
      </c>
      <c r="J20" s="20" t="n">
        <v>1.901456310679612</v>
      </c>
      <c r="K20" t="n">
        <v>1</v>
      </c>
      <c r="L20" s="13" t="n">
        <v>0.78</v>
      </c>
      <c r="M20" t="inlineStr">
        <is>
          <t>Powerhouse</t>
        </is>
      </c>
      <c r="O20" s="20" t="n"/>
      <c r="P20" s="13" t="n"/>
      <c r="Q20" s="13" t="n"/>
      <c r="R20" s="20" t="n"/>
      <c r="T20" s="20" t="n">
        <v>1</v>
      </c>
      <c r="U20" s="13" t="n">
        <v>9216</v>
      </c>
      <c r="V20" s="20" t="n">
        <v>0.2125108506944444</v>
      </c>
    </row>
    <row r="21">
      <c r="A21" s="2" t="inlineStr">
        <is>
          <t>NCAC</t>
        </is>
      </c>
      <c r="B21" s="2" t="n">
        <v>2</v>
      </c>
      <c r="C21" s="6" t="inlineStr">
        <is>
          <t>Kenyon College</t>
        </is>
      </c>
      <c r="D21" s="19" t="n">
        <v>1741.5</v>
      </c>
      <c r="E21" s="2" t="inlineStr">
        <is>
          <t>Tier 1</t>
        </is>
      </c>
      <c r="F21" s="2" t="n">
        <v>127</v>
      </c>
      <c r="G21" t="inlineStr">
        <is>
          <t>NCAC|Kenyon College</t>
        </is>
      </c>
      <c r="H21" s="13" t="n">
        <v>1958.5</v>
      </c>
      <c r="I21" s="13" t="n">
        <v>1030</v>
      </c>
      <c r="J21" s="20" t="n">
        <v>1.901456310679612</v>
      </c>
      <c r="K21" t="n">
        <v>0</v>
      </c>
      <c r="L21" s="13" t="n">
        <v>0.78</v>
      </c>
      <c r="M21" t="inlineStr">
        <is>
          <t>Powerhouse</t>
        </is>
      </c>
      <c r="O21" s="20" t="n"/>
      <c r="P21" s="13" t="n"/>
      <c r="Q21" s="13" t="n"/>
      <c r="R21" s="20" t="n"/>
      <c r="T21" s="20" t="n">
        <v>0.8892009190707174</v>
      </c>
      <c r="U21" s="13" t="n">
        <v>9216</v>
      </c>
      <c r="V21" s="20" t="n">
        <v>0.18896484375</v>
      </c>
    </row>
    <row r="22">
      <c r="A22" s="2" t="inlineStr">
        <is>
          <t>NCAC</t>
        </is>
      </c>
      <c r="B22" s="2" t="n">
        <v>3</v>
      </c>
      <c r="C22" s="6" t="inlineStr">
        <is>
          <t>John Carroll University</t>
        </is>
      </c>
      <c r="D22" s="19" t="n">
        <v>1192.5</v>
      </c>
      <c r="E22" s="2" t="inlineStr">
        <is>
          <t>Tier 2</t>
        </is>
      </c>
      <c r="F22" s="2" t="n">
        <v>127</v>
      </c>
      <c r="G22" t="inlineStr">
        <is>
          <t>NCAC|John Carroll University</t>
        </is>
      </c>
      <c r="H22" s="13" t="n">
        <v>1958.5</v>
      </c>
      <c r="I22" s="13" t="n">
        <v>1030</v>
      </c>
      <c r="J22" s="20" t="n">
        <v>1.901456310679612</v>
      </c>
      <c r="K22" t="n">
        <v>0</v>
      </c>
      <c r="L22" s="13" t="n">
        <v>1</v>
      </c>
      <c r="M22" t="inlineStr"/>
      <c r="O22" s="20" t="n"/>
      <c r="P22" s="13" t="n"/>
      <c r="Q22" s="13" t="n"/>
      <c r="R22" s="20" t="n"/>
      <c r="T22" s="20" t="n">
        <v>0.6088843502680623</v>
      </c>
      <c r="U22" s="13" t="n">
        <v>9216</v>
      </c>
      <c r="V22" s="20" t="n">
        <v>0.12939453125</v>
      </c>
    </row>
    <row r="23">
      <c r="A23" s="2" t="inlineStr">
        <is>
          <t>NCAC</t>
        </is>
      </c>
      <c r="B23" s="2" t="n">
        <v>4</v>
      </c>
      <c r="C23" s="6" t="inlineStr">
        <is>
          <t>DePauw University</t>
        </is>
      </c>
      <c r="D23" s="19" t="n">
        <v>1095</v>
      </c>
      <c r="E23" s="2" t="inlineStr">
        <is>
          <t>Tier 3</t>
        </is>
      </c>
      <c r="F23" s="2" t="n">
        <v>127</v>
      </c>
      <c r="G23" t="inlineStr">
        <is>
          <t>NCAC|DePauw University</t>
        </is>
      </c>
      <c r="H23" s="13" t="n">
        <v>1958.5</v>
      </c>
      <c r="I23" s="13" t="n">
        <v>1030</v>
      </c>
      <c r="J23" s="20" t="n">
        <v>1.901456310679612</v>
      </c>
      <c r="K23" t="n">
        <v>0</v>
      </c>
      <c r="L23" s="13" t="n">
        <v>1.1</v>
      </c>
      <c r="M23" t="inlineStr"/>
      <c r="O23" s="20" t="n"/>
      <c r="P23" s="13" t="n"/>
      <c r="Q23" s="13" t="n"/>
      <c r="R23" s="20" t="n"/>
      <c r="T23" s="20" t="n">
        <v>0.5591013530763339</v>
      </c>
      <c r="U23" s="13" t="n">
        <v>9216</v>
      </c>
      <c r="V23" s="20" t="n">
        <v>0.1188151041666667</v>
      </c>
    </row>
    <row r="24">
      <c r="A24" s="2" t="inlineStr">
        <is>
          <t>NCAC</t>
        </is>
      </c>
      <c r="B24" s="2" t="n">
        <v>5</v>
      </c>
      <c r="C24" s="6" t="inlineStr">
        <is>
          <t>Wabash College</t>
        </is>
      </c>
      <c r="D24" s="19" t="n">
        <v>1030</v>
      </c>
      <c r="E24" s="2" t="inlineStr">
        <is>
          <t>Tier 3</t>
        </is>
      </c>
      <c r="F24" s="2" t="n">
        <v>127</v>
      </c>
      <c r="G24" t="inlineStr">
        <is>
          <t>NCAC|Wabash College</t>
        </is>
      </c>
      <c r="H24" s="13" t="n">
        <v>1958.5</v>
      </c>
      <c r="I24" s="13" t="n">
        <v>1030</v>
      </c>
      <c r="J24" s="20" t="n">
        <v>1.901456310679612</v>
      </c>
      <c r="K24" t="n">
        <v>0</v>
      </c>
      <c r="L24" s="13" t="n">
        <v>1.1</v>
      </c>
      <c r="M24" t="inlineStr"/>
      <c r="O24" s="20" t="n"/>
      <c r="P24" s="13" t="n"/>
      <c r="Q24" s="13" t="n"/>
      <c r="R24" s="20" t="n"/>
      <c r="T24" s="20" t="n">
        <v>0.5259126882818483</v>
      </c>
      <c r="U24" s="13" t="n">
        <v>9216</v>
      </c>
      <c r="V24" s="20" t="n">
        <v>0.1117621527777778</v>
      </c>
    </row>
    <row r="25">
      <c r="A25" s="2" t="inlineStr">
        <is>
          <t>NCAC</t>
        </is>
      </c>
      <c r="B25" s="2" t="n">
        <v>6</v>
      </c>
      <c r="C25" s="6" t="inlineStr">
        <is>
          <t>College of Wooster</t>
        </is>
      </c>
      <c r="D25" s="19" t="n">
        <v>789.5</v>
      </c>
      <c r="E25" s="2" t="inlineStr">
        <is>
          <t>Tier 3</t>
        </is>
      </c>
      <c r="F25" s="2" t="n">
        <v>127</v>
      </c>
      <c r="G25" t="inlineStr">
        <is>
          <t>NCAC|College of Wooster</t>
        </is>
      </c>
      <c r="H25" s="13" t="n">
        <v>1958.5</v>
      </c>
      <c r="I25" s="13" t="n">
        <v>1030</v>
      </c>
      <c r="J25" s="20" t="n">
        <v>1.901456310679612</v>
      </c>
      <c r="K25" t="n">
        <v>0</v>
      </c>
      <c r="L25" s="13" t="n">
        <v>1.1</v>
      </c>
      <c r="M25" t="inlineStr"/>
      <c r="O25" s="20" t="n"/>
      <c r="P25" s="13" t="n"/>
      <c r="Q25" s="13" t="n"/>
      <c r="R25" s="20" t="n"/>
      <c r="T25" s="20" t="n">
        <v>0.4031146285422517</v>
      </c>
      <c r="U25" s="13" t="n">
        <v>9216</v>
      </c>
      <c r="V25" s="20" t="n">
        <v>0.0856662326388889</v>
      </c>
    </row>
    <row r="26">
      <c r="A26" s="2" t="inlineStr">
        <is>
          <t>NCAC</t>
        </is>
      </c>
      <c r="B26" s="2" t="n">
        <v>7</v>
      </c>
      <c r="C26" s="6" t="inlineStr">
        <is>
          <t>Oberlin College</t>
        </is>
      </c>
      <c r="D26" s="19" t="n">
        <v>786</v>
      </c>
      <c r="E26" s="2" t="inlineStr">
        <is>
          <t>Tier 3</t>
        </is>
      </c>
      <c r="F26" s="2" t="n">
        <v>127</v>
      </c>
      <c r="G26" t="inlineStr">
        <is>
          <t>NCAC|Oberlin College</t>
        </is>
      </c>
      <c r="H26" s="13" t="n">
        <v>1958.5</v>
      </c>
      <c r="I26" s="13" t="n">
        <v>1030</v>
      </c>
      <c r="J26" s="20" t="n">
        <v>1.901456310679612</v>
      </c>
      <c r="K26" t="n">
        <v>0</v>
      </c>
      <c r="L26" s="13" t="n">
        <v>1.1</v>
      </c>
      <c r="M26" t="inlineStr"/>
      <c r="O26" s="20" t="n"/>
      <c r="P26" s="13" t="n"/>
      <c r="Q26" s="13" t="n"/>
      <c r="R26" s="20" t="n"/>
      <c r="T26" s="20" t="n">
        <v>0.4013275465917794</v>
      </c>
      <c r="U26" s="13" t="n">
        <v>9216</v>
      </c>
      <c r="V26" s="20" t="n">
        <v>0.08528645833333333</v>
      </c>
    </row>
    <row r="27">
      <c r="A27" s="2" t="inlineStr">
        <is>
          <t>NCAC</t>
        </is>
      </c>
      <c r="B27" s="2" t="n">
        <v>8</v>
      </c>
      <c r="C27" s="6" t="inlineStr">
        <is>
          <t>Ohio Wesleyan University</t>
        </is>
      </c>
      <c r="D27" s="19" t="n">
        <v>450</v>
      </c>
      <c r="E27" s="2" t="inlineStr">
        <is>
          <t>Tier 4</t>
        </is>
      </c>
      <c r="F27" s="2" t="n">
        <v>127</v>
      </c>
      <c r="G27" t="inlineStr">
        <is>
          <t>NCAC|Ohio Wesleyan University</t>
        </is>
      </c>
      <c r="H27" s="13" t="n">
        <v>1958.5</v>
      </c>
      <c r="I27" s="13" t="n">
        <v>1030</v>
      </c>
      <c r="J27" s="20" t="n">
        <v>1.901456310679612</v>
      </c>
      <c r="K27" t="n">
        <v>0</v>
      </c>
      <c r="L27" s="13" t="n">
        <v>1.2</v>
      </c>
      <c r="M27" t="inlineStr"/>
      <c r="O27" s="20" t="n"/>
      <c r="P27" s="13" t="n"/>
      <c r="Q27" s="13" t="n"/>
      <c r="R27" s="20" t="n"/>
      <c r="T27" s="20" t="n">
        <v>0.2297676793464386</v>
      </c>
      <c r="U27" s="13" t="n">
        <v>9216</v>
      </c>
      <c r="V27" s="20" t="n">
        <v>0.048828125</v>
      </c>
    </row>
    <row r="28">
      <c r="A28" s="2" t="inlineStr">
        <is>
          <t>NCAC</t>
        </is>
      </c>
      <c r="B28" s="2" t="n">
        <v>9</v>
      </c>
      <c r="C28" s="6" t="inlineStr">
        <is>
          <t>Wittenberg University</t>
        </is>
      </c>
      <c r="D28" s="19" t="n">
        <v>173</v>
      </c>
      <c r="E28" s="2" t="inlineStr">
        <is>
          <t>Tier 4</t>
        </is>
      </c>
      <c r="F28" s="2" t="n">
        <v>127</v>
      </c>
      <c r="G28" t="inlineStr">
        <is>
          <t>NCAC|Wittenberg University</t>
        </is>
      </c>
      <c r="H28" s="13" t="n">
        <v>1958.5</v>
      </c>
      <c r="I28" s="13" t="n">
        <v>1030</v>
      </c>
      <c r="J28" s="20" t="n">
        <v>1.901456310679612</v>
      </c>
      <c r="K28" t="n">
        <v>0</v>
      </c>
      <c r="L28" s="13" t="n">
        <v>1.2</v>
      </c>
      <c r="M28" t="inlineStr"/>
      <c r="O28" s="20" t="n"/>
      <c r="P28" s="13" t="n"/>
      <c r="Q28" s="13" t="n"/>
      <c r="R28" s="20" t="n"/>
      <c r="T28" s="20" t="n">
        <v>0.08833290783763084</v>
      </c>
      <c r="U28" s="13" t="n">
        <v>9216</v>
      </c>
      <c r="V28" s="20" t="n">
        <v>0.01877170138888889</v>
      </c>
    </row>
    <row r="29">
      <c r="A29" s="2" t="inlineStr">
        <is>
          <t>NESCAC</t>
        </is>
      </c>
      <c r="B29" s="2" t="n">
        <v>1</v>
      </c>
      <c r="C29" s="6" t="inlineStr">
        <is>
          <t>Williams College</t>
        </is>
      </c>
      <c r="D29" s="19" t="n">
        <v>1599</v>
      </c>
      <c r="E29" s="2" t="inlineStr">
        <is>
          <t>Tier 1</t>
        </is>
      </c>
      <c r="F29" s="2" t="n">
        <v>77</v>
      </c>
      <c r="G29" t="inlineStr">
        <is>
          <t>NESCAC|Williams College</t>
        </is>
      </c>
      <c r="H29" s="13" t="n">
        <v>1599</v>
      </c>
      <c r="I29" s="13" t="n">
        <v>800.5</v>
      </c>
      <c r="J29" s="20" t="n">
        <v>1.997501561524047</v>
      </c>
      <c r="K29" t="n">
        <v>1</v>
      </c>
      <c r="L29" s="13" t="n">
        <v>0.78</v>
      </c>
      <c r="M29" t="inlineStr">
        <is>
          <t>Powerhouse</t>
        </is>
      </c>
      <c r="O29" s="20" t="n"/>
      <c r="P29" s="13" t="n"/>
      <c r="Q29" s="13" t="n"/>
      <c r="R29" s="20" t="n"/>
      <c r="T29" s="20" t="n">
        <v>1</v>
      </c>
      <c r="U29" s="13" t="n">
        <v>10060</v>
      </c>
      <c r="V29" s="20" t="n">
        <v>0.1589463220675944</v>
      </c>
    </row>
    <row r="30">
      <c r="A30" s="2" t="inlineStr">
        <is>
          <t>NESCAC</t>
        </is>
      </c>
      <c r="B30" s="2" t="n">
        <v>2</v>
      </c>
      <c r="C30" s="6" t="inlineStr">
        <is>
          <t>Tufts University</t>
        </is>
      </c>
      <c r="D30" s="19" t="n">
        <v>1562</v>
      </c>
      <c r="E30" s="2" t="inlineStr">
        <is>
          <t>Tier 1</t>
        </is>
      </c>
      <c r="F30" s="2" t="n">
        <v>77</v>
      </c>
      <c r="G30" t="inlineStr">
        <is>
          <t>NESCAC|Tufts University</t>
        </is>
      </c>
      <c r="H30" s="13" t="n">
        <v>1599</v>
      </c>
      <c r="I30" s="13" t="n">
        <v>800.5</v>
      </c>
      <c r="J30" s="20" t="n">
        <v>1.997501561524047</v>
      </c>
      <c r="K30" t="n">
        <v>0</v>
      </c>
      <c r="L30" s="13" t="n">
        <v>0.78</v>
      </c>
      <c r="M30" t="inlineStr">
        <is>
          <t>Powerhouse</t>
        </is>
      </c>
      <c r="O30" s="20" t="n"/>
      <c r="P30" s="13" t="n"/>
      <c r="Q30" s="13" t="n"/>
      <c r="R30" s="20" t="n"/>
      <c r="T30" s="20" t="n">
        <v>0.9768605378361476</v>
      </c>
      <c r="U30" s="13" t="n">
        <v>10060</v>
      </c>
      <c r="V30" s="20" t="n">
        <v>0.1552683896620278</v>
      </c>
    </row>
    <row r="31">
      <c r="A31" s="2" t="inlineStr">
        <is>
          <t>NESCAC</t>
        </is>
      </c>
      <c r="B31" s="2" t="n">
        <v>3</v>
      </c>
      <c r="C31" s="6" t="inlineStr">
        <is>
          <t>Amherst College</t>
        </is>
      </c>
      <c r="D31" s="19" t="n">
        <v>1217</v>
      </c>
      <c r="E31" s="2" t="inlineStr">
        <is>
          <t>Tier 2</t>
        </is>
      </c>
      <c r="F31" s="2" t="n">
        <v>77</v>
      </c>
      <c r="G31" t="inlineStr">
        <is>
          <t>NESCAC|Amherst College</t>
        </is>
      </c>
      <c r="H31" s="13" t="n">
        <v>1599</v>
      </c>
      <c r="I31" s="13" t="n">
        <v>800.5</v>
      </c>
      <c r="J31" s="20" t="n">
        <v>1.997501561524047</v>
      </c>
      <c r="K31" t="n">
        <v>0</v>
      </c>
      <c r="L31" s="13" t="n">
        <v>1</v>
      </c>
      <c r="M31" t="inlineStr"/>
      <c r="O31" s="20" t="n"/>
      <c r="P31" s="13" t="n"/>
      <c r="Q31" s="13" t="n"/>
      <c r="R31" s="20" t="n"/>
      <c r="T31" s="20" t="n">
        <v>0.7611006879299562</v>
      </c>
      <c r="U31" s="13" t="n">
        <v>10060</v>
      </c>
      <c r="V31" s="20" t="n">
        <v>0.1209741550695825</v>
      </c>
    </row>
    <row r="32">
      <c r="A32" s="2" t="inlineStr">
        <is>
          <t>NESCAC</t>
        </is>
      </c>
      <c r="B32" s="2" t="n">
        <v>4</v>
      </c>
      <c r="C32" s="6" t="inlineStr">
        <is>
          <t>Connecticut College</t>
        </is>
      </c>
      <c r="D32" s="19" t="n">
        <v>1077</v>
      </c>
      <c r="E32" s="2" t="inlineStr">
        <is>
          <t>Tier 2</t>
        </is>
      </c>
      <c r="F32" s="2" t="n">
        <v>77</v>
      </c>
      <c r="G32" t="inlineStr">
        <is>
          <t>NESCAC|Connecticut College</t>
        </is>
      </c>
      <c r="H32" s="13" t="n">
        <v>1599</v>
      </c>
      <c r="I32" s="13" t="n">
        <v>800.5</v>
      </c>
      <c r="J32" s="20" t="n">
        <v>1.997501561524047</v>
      </c>
      <c r="K32" t="n">
        <v>0</v>
      </c>
      <c r="L32" s="13" t="n">
        <v>1</v>
      </c>
      <c r="M32" t="inlineStr"/>
      <c r="O32" s="20" t="n"/>
      <c r="P32" s="13" t="n"/>
      <c r="Q32" s="13" t="n"/>
      <c r="R32" s="20" t="n"/>
      <c r="T32" s="20" t="n">
        <v>0.6735459662288931</v>
      </c>
      <c r="U32" s="13" t="n">
        <v>10060</v>
      </c>
      <c r="V32" s="20" t="n">
        <v>0.1070576540755467</v>
      </c>
    </row>
    <row r="33">
      <c r="A33" s="2" t="inlineStr">
        <is>
          <t>NESCAC</t>
        </is>
      </c>
      <c r="B33" s="2" t="n">
        <v>5</v>
      </c>
      <c r="C33" s="6" t="inlineStr">
        <is>
          <t>Bates College</t>
        </is>
      </c>
      <c r="D33" s="19" t="n">
        <v>1041.5</v>
      </c>
      <c r="E33" s="2" t="inlineStr">
        <is>
          <t>Tier 2</t>
        </is>
      </c>
      <c r="F33" s="2" t="n">
        <v>77</v>
      </c>
      <c r="G33" t="inlineStr">
        <is>
          <t>NESCAC|Bates College</t>
        </is>
      </c>
      <c r="H33" s="13" t="n">
        <v>1599</v>
      </c>
      <c r="I33" s="13" t="n">
        <v>800.5</v>
      </c>
      <c r="J33" s="20" t="n">
        <v>1.997501561524047</v>
      </c>
      <c r="K33" t="n">
        <v>0</v>
      </c>
      <c r="L33" s="13" t="n">
        <v>1</v>
      </c>
      <c r="M33" t="inlineStr"/>
      <c r="O33" s="20" t="n"/>
      <c r="P33" s="13" t="n"/>
      <c r="Q33" s="13" t="n"/>
      <c r="R33" s="20" t="n"/>
      <c r="T33" s="20" t="n">
        <v>0.6513445903689806</v>
      </c>
      <c r="U33" s="13" t="n">
        <v>10060</v>
      </c>
      <c r="V33" s="20" t="n">
        <v>0.1035288270377734</v>
      </c>
    </row>
    <row r="34">
      <c r="A34" s="2" t="inlineStr">
        <is>
          <t>NESCAC</t>
        </is>
      </c>
      <c r="B34" s="2" t="n">
        <v>6</v>
      </c>
      <c r="C34" s="6" t="inlineStr">
        <is>
          <t>Hamilton College</t>
        </is>
      </c>
      <c r="D34" s="19" t="n">
        <v>800.5</v>
      </c>
      <c r="E34" s="2" t="inlineStr">
        <is>
          <t>Tier 3</t>
        </is>
      </c>
      <c r="F34" s="2" t="n">
        <v>77</v>
      </c>
      <c r="G34" t="inlineStr">
        <is>
          <t>NESCAC|Hamilton College</t>
        </is>
      </c>
      <c r="H34" s="13" t="n">
        <v>1599</v>
      </c>
      <c r="I34" s="13" t="n">
        <v>800.5</v>
      </c>
      <c r="J34" s="20" t="n">
        <v>1.997501561524047</v>
      </c>
      <c r="K34" t="n">
        <v>0</v>
      </c>
      <c r="L34" s="13" t="n">
        <v>1.1</v>
      </c>
      <c r="M34" t="inlineStr"/>
      <c r="O34" s="20" t="n"/>
      <c r="P34" s="13" t="n"/>
      <c r="Q34" s="13" t="n"/>
      <c r="R34" s="20" t="n"/>
      <c r="T34" s="20" t="n">
        <v>0.5006253908692934</v>
      </c>
      <c r="U34" s="13" t="n">
        <v>10060</v>
      </c>
      <c r="V34" s="20" t="n">
        <v>0.07957256461232605</v>
      </c>
    </row>
    <row r="35">
      <c r="A35" s="2" t="inlineStr">
        <is>
          <t>NESCAC</t>
        </is>
      </c>
      <c r="B35" s="2" t="n">
        <v>7</v>
      </c>
      <c r="C35" s="6" t="inlineStr">
        <is>
          <t>Bowdoin College</t>
        </is>
      </c>
      <c r="D35" s="19" t="n">
        <v>768</v>
      </c>
      <c r="E35" s="2" t="inlineStr">
        <is>
          <t>Tier 3</t>
        </is>
      </c>
      <c r="F35" s="2" t="n">
        <v>77</v>
      </c>
      <c r="G35" t="inlineStr">
        <is>
          <t>NESCAC|Bowdoin College</t>
        </is>
      </c>
      <c r="H35" s="13" t="n">
        <v>1599</v>
      </c>
      <c r="I35" s="13" t="n">
        <v>800.5</v>
      </c>
      <c r="J35" s="20" t="n">
        <v>1.997501561524047</v>
      </c>
      <c r="K35" t="n">
        <v>0</v>
      </c>
      <c r="L35" s="13" t="n">
        <v>1.1</v>
      </c>
      <c r="M35" t="inlineStr"/>
      <c r="O35" s="20" t="n"/>
      <c r="P35" s="13" t="n"/>
      <c r="Q35" s="13" t="n"/>
      <c r="R35" s="20" t="n"/>
      <c r="T35" s="20" t="n">
        <v>0.4803001876172608</v>
      </c>
      <c r="U35" s="13" t="n">
        <v>10060</v>
      </c>
      <c r="V35" s="20" t="n">
        <v>0.07634194831013917</v>
      </c>
    </row>
    <row r="36">
      <c r="A36" s="2" t="inlineStr">
        <is>
          <t>NESCAC</t>
        </is>
      </c>
      <c r="B36" s="2" t="n">
        <v>8</v>
      </c>
      <c r="C36" s="6" t="inlineStr">
        <is>
          <t>Middlebury College</t>
        </is>
      </c>
      <c r="D36" s="19" t="n">
        <v>702</v>
      </c>
      <c r="E36" s="2" t="inlineStr">
        <is>
          <t>Tier 3</t>
        </is>
      </c>
      <c r="F36" s="2" t="n">
        <v>77</v>
      </c>
      <c r="G36" t="inlineStr">
        <is>
          <t>NESCAC|Middlebury College</t>
        </is>
      </c>
      <c r="H36" s="13" t="n">
        <v>1599</v>
      </c>
      <c r="I36" s="13" t="n">
        <v>800.5</v>
      </c>
      <c r="J36" s="20" t="n">
        <v>1.997501561524047</v>
      </c>
      <c r="K36" t="n">
        <v>0</v>
      </c>
      <c r="L36" s="13" t="n">
        <v>1.1</v>
      </c>
      <c r="M36" t="inlineStr"/>
      <c r="O36" s="20" t="n"/>
      <c r="P36" s="13" t="n"/>
      <c r="Q36" s="13" t="n"/>
      <c r="R36" s="20" t="n"/>
      <c r="T36" s="20" t="n">
        <v>0.4390243902439024</v>
      </c>
      <c r="U36" s="13" t="n">
        <v>10060</v>
      </c>
      <c r="V36" s="20" t="n">
        <v>0.06978131212723658</v>
      </c>
    </row>
    <row r="37">
      <c r="A37" s="2" t="inlineStr">
        <is>
          <t>NESCAC</t>
        </is>
      </c>
      <c r="B37" s="2" t="n">
        <v>9</v>
      </c>
      <c r="C37" s="6" t="inlineStr">
        <is>
          <t>Colby College</t>
        </is>
      </c>
      <c r="D37" s="19" t="n">
        <v>697</v>
      </c>
      <c r="E37" s="2" t="inlineStr">
        <is>
          <t>Tier 3</t>
        </is>
      </c>
      <c r="F37" s="2" t="n">
        <v>77</v>
      </c>
      <c r="G37" t="inlineStr">
        <is>
          <t>NESCAC|Colby College</t>
        </is>
      </c>
      <c r="H37" s="13" t="n">
        <v>1599</v>
      </c>
      <c r="I37" s="13" t="n">
        <v>800.5</v>
      </c>
      <c r="J37" s="20" t="n">
        <v>1.997501561524047</v>
      </c>
      <c r="K37" t="n">
        <v>0</v>
      </c>
      <c r="L37" s="13" t="n">
        <v>1.1</v>
      </c>
      <c r="M37" t="inlineStr"/>
      <c r="O37" s="20" t="n"/>
      <c r="P37" s="13" t="n"/>
      <c r="Q37" s="13" t="n"/>
      <c r="R37" s="20" t="n"/>
      <c r="T37" s="20" t="n">
        <v>0.4358974358974359</v>
      </c>
      <c r="U37" s="13" t="n">
        <v>10060</v>
      </c>
      <c r="V37" s="20" t="n">
        <v>0.06928429423459244</v>
      </c>
    </row>
    <row r="38">
      <c r="A38" s="2" t="inlineStr">
        <is>
          <t>NESCAC</t>
        </is>
      </c>
      <c r="B38" s="2" t="n">
        <v>10</v>
      </c>
      <c r="C38" s="6" t="inlineStr">
        <is>
          <t>Trinity College</t>
        </is>
      </c>
      <c r="D38" s="19" t="n">
        <v>373</v>
      </c>
      <c r="E38" s="2" t="inlineStr">
        <is>
          <t>Tier 4</t>
        </is>
      </c>
      <c r="F38" s="2" t="n">
        <v>77</v>
      </c>
      <c r="G38" t="inlineStr">
        <is>
          <t>NESCAC|Trinity College</t>
        </is>
      </c>
      <c r="H38" s="13" t="n">
        <v>1599</v>
      </c>
      <c r="I38" s="13" t="n">
        <v>800.5</v>
      </c>
      <c r="J38" s="20" t="n">
        <v>1.997501561524047</v>
      </c>
      <c r="K38" t="n">
        <v>0</v>
      </c>
      <c r="L38" s="13" t="n">
        <v>1.2</v>
      </c>
      <c r="M38" t="inlineStr"/>
      <c r="O38" s="20" t="n"/>
      <c r="P38" s="13" t="n"/>
      <c r="Q38" s="13" t="n"/>
      <c r="R38" s="20" t="n"/>
      <c r="T38" s="20" t="n">
        <v>0.233270794246404</v>
      </c>
      <c r="U38" s="13" t="n">
        <v>10060</v>
      </c>
      <c r="V38" s="20" t="n">
        <v>0.03707753479125248</v>
      </c>
    </row>
    <row r="39">
      <c r="A39" s="2" t="inlineStr">
        <is>
          <t>NESCAC</t>
        </is>
      </c>
      <c r="B39" s="2" t="n">
        <v>11</v>
      </c>
      <c r="C39" s="6" t="inlineStr">
        <is>
          <t>Wesleyan University</t>
        </is>
      </c>
      <c r="D39" s="19" t="n">
        <v>223</v>
      </c>
      <c r="E39" s="2" t="inlineStr">
        <is>
          <t>Tier 4</t>
        </is>
      </c>
      <c r="F39" s="2" t="n">
        <v>77</v>
      </c>
      <c r="G39" t="inlineStr">
        <is>
          <t>NESCAC|Wesleyan University</t>
        </is>
      </c>
      <c r="H39" s="13" t="n">
        <v>1599</v>
      </c>
      <c r="I39" s="13" t="n">
        <v>800.5</v>
      </c>
      <c r="J39" s="20" t="n">
        <v>1.997501561524047</v>
      </c>
      <c r="K39" t="n">
        <v>0</v>
      </c>
      <c r="L39" s="13" t="n">
        <v>1.2</v>
      </c>
      <c r="M39" t="inlineStr"/>
      <c r="O39" s="20" t="n"/>
      <c r="P39" s="13" t="n"/>
      <c r="Q39" s="13" t="n"/>
      <c r="R39" s="20" t="n"/>
      <c r="T39" s="20" t="n">
        <v>0.1394621638524078</v>
      </c>
      <c r="U39" s="13" t="n">
        <v>10060</v>
      </c>
      <c r="V39" s="20" t="n">
        <v>0.02216699801192843</v>
      </c>
    </row>
    <row r="40">
      <c r="A40" s="2" t="inlineStr">
        <is>
          <t>NEWMAC</t>
        </is>
      </c>
      <c r="B40" s="2" t="n">
        <v>1</v>
      </c>
      <c r="C40" s="6" t="inlineStr">
        <is>
          <t>Massachusetts Institute of Tec</t>
        </is>
      </c>
      <c r="D40" s="19" t="n">
        <v>1481.5</v>
      </c>
      <c r="E40" s="2" t="inlineStr">
        <is>
          <t>Tier 1</t>
        </is>
      </c>
      <c r="F40" s="2" t="n">
        <v>91</v>
      </c>
      <c r="G40" t="inlineStr">
        <is>
          <t>NEWMAC|Massachusetts Institute of Tec</t>
        </is>
      </c>
      <c r="H40" s="13" t="n">
        <v>1481.5</v>
      </c>
      <c r="I40" s="13" t="n">
        <v>692</v>
      </c>
      <c r="J40" s="20" t="n">
        <v>2.140895953757226</v>
      </c>
      <c r="K40" t="n">
        <v>1</v>
      </c>
      <c r="L40" s="13" t="n">
        <v>0.7</v>
      </c>
      <c r="M40" t="inlineStr">
        <is>
          <t>Super Powerhouse</t>
        </is>
      </c>
      <c r="O40" s="20" t="n"/>
      <c r="P40" s="13" t="n"/>
      <c r="Q40" s="13" t="n"/>
      <c r="R40" s="20" t="n"/>
      <c r="T40" s="20" t="n">
        <v>1</v>
      </c>
      <c r="U40" s="13" t="n">
        <v>5228</v>
      </c>
      <c r="V40" s="20" t="n">
        <v>0.2833779648048967</v>
      </c>
    </row>
    <row r="41">
      <c r="A41" s="2" t="inlineStr">
        <is>
          <t>NEWMAC</t>
        </is>
      </c>
      <c r="B41" s="2" t="n">
        <v>2</v>
      </c>
      <c r="C41" s="6" t="inlineStr">
        <is>
          <t>U.S. Coast Guard Academy</t>
        </is>
      </c>
      <c r="D41" s="19" t="n">
        <v>1013</v>
      </c>
      <c r="E41" s="2" t="inlineStr">
        <is>
          <t>Tier 2</t>
        </is>
      </c>
      <c r="F41" s="2" t="n">
        <v>91</v>
      </c>
      <c r="G41" t="inlineStr">
        <is>
          <t>NEWMAC|U.S. Coast Guard Academy</t>
        </is>
      </c>
      <c r="H41" s="13" t="n">
        <v>1481.5</v>
      </c>
      <c r="I41" s="13" t="n">
        <v>692</v>
      </c>
      <c r="J41" s="20" t="n">
        <v>2.140895953757226</v>
      </c>
      <c r="K41" t="n">
        <v>0</v>
      </c>
      <c r="L41" s="13" t="n">
        <v>1</v>
      </c>
      <c r="M41" t="inlineStr"/>
      <c r="O41" s="20" t="n"/>
      <c r="P41" s="13" t="n"/>
      <c r="Q41" s="13" t="n"/>
      <c r="R41" s="20" t="n"/>
      <c r="T41" s="20" t="n">
        <v>0.6837664529193385</v>
      </c>
      <c r="U41" s="13" t="n">
        <v>5228</v>
      </c>
      <c r="V41" s="20" t="n">
        <v>0.1937643458301454</v>
      </c>
    </row>
    <row r="42">
      <c r="A42" s="2" t="inlineStr">
        <is>
          <t>NEWMAC</t>
        </is>
      </c>
      <c r="B42" s="2" t="n">
        <v>3</v>
      </c>
      <c r="C42" s="6" t="inlineStr">
        <is>
          <t>Worcester Polytechnic Institut</t>
        </is>
      </c>
      <c r="D42" s="19" t="n">
        <v>731</v>
      </c>
      <c r="E42" s="2" t="inlineStr">
        <is>
          <t>Tier 3</t>
        </is>
      </c>
      <c r="F42" s="2" t="n">
        <v>91</v>
      </c>
      <c r="G42" t="inlineStr">
        <is>
          <t>NEWMAC|Worcester Polytechnic Institut</t>
        </is>
      </c>
      <c r="H42" s="13" t="n">
        <v>1481.5</v>
      </c>
      <c r="I42" s="13" t="n">
        <v>692</v>
      </c>
      <c r="J42" s="20" t="n">
        <v>2.140895953757226</v>
      </c>
      <c r="K42" t="n">
        <v>0</v>
      </c>
      <c r="L42" s="13" t="n">
        <v>1.1</v>
      </c>
      <c r="M42" t="inlineStr"/>
      <c r="O42" s="20" t="n"/>
      <c r="P42" s="13" t="n"/>
      <c r="Q42" s="13" t="n"/>
      <c r="R42" s="20" t="n"/>
      <c r="T42" s="20" t="n">
        <v>0.4934188322645967</v>
      </c>
      <c r="U42" s="13" t="n">
        <v>5228</v>
      </c>
      <c r="V42" s="20" t="n">
        <v>0.1398240244835501</v>
      </c>
    </row>
    <row r="43">
      <c r="A43" s="2" t="inlineStr">
        <is>
          <t>NEWMAC</t>
        </is>
      </c>
      <c r="B43" s="2" t="n">
        <v>4</v>
      </c>
      <c r="C43" s="6" t="inlineStr">
        <is>
          <t>Babson College</t>
        </is>
      </c>
      <c r="D43" s="19" t="n">
        <v>692</v>
      </c>
      <c r="E43" s="2" t="inlineStr">
        <is>
          <t>Tier 3</t>
        </is>
      </c>
      <c r="F43" s="2" t="n">
        <v>91</v>
      </c>
      <c r="G43" t="inlineStr">
        <is>
          <t>NEWMAC|Babson College</t>
        </is>
      </c>
      <c r="H43" s="13" t="n">
        <v>1481.5</v>
      </c>
      <c r="I43" s="13" t="n">
        <v>692</v>
      </c>
      <c r="J43" s="20" t="n">
        <v>2.140895953757226</v>
      </c>
      <c r="K43" t="n">
        <v>0</v>
      </c>
      <c r="L43" s="13" t="n">
        <v>1.1</v>
      </c>
      <c r="M43" t="inlineStr"/>
      <c r="O43" s="20" t="n"/>
      <c r="P43" s="13" t="n"/>
      <c r="Q43" s="13" t="n"/>
      <c r="R43" s="20" t="n"/>
      <c r="T43" s="20" t="n">
        <v>0.4670941613229835</v>
      </c>
      <c r="U43" s="13" t="n">
        <v>5228</v>
      </c>
      <c r="V43" s="20" t="n">
        <v>0.1323641928079572</v>
      </c>
    </row>
    <row r="44">
      <c r="A44" s="2" t="inlineStr">
        <is>
          <t>NEWMAC</t>
        </is>
      </c>
      <c r="B44" s="2" t="n">
        <v>5</v>
      </c>
      <c r="C44" s="6" t="inlineStr">
        <is>
          <t>Wheaton College (Ma)</t>
        </is>
      </c>
      <c r="D44" s="19" t="n">
        <v>625</v>
      </c>
      <c r="E44" s="2" t="inlineStr">
        <is>
          <t>Tier 3</t>
        </is>
      </c>
      <c r="F44" s="2" t="n">
        <v>91</v>
      </c>
      <c r="G44" t="inlineStr">
        <is>
          <t>NEWMAC|Wheaton College (Ma)</t>
        </is>
      </c>
      <c r="H44" s="13" t="n">
        <v>1481.5</v>
      </c>
      <c r="I44" s="13" t="n">
        <v>692</v>
      </c>
      <c r="J44" s="20" t="n">
        <v>2.140895953757226</v>
      </c>
      <c r="K44" t="n">
        <v>0</v>
      </c>
      <c r="L44" s="13" t="n">
        <v>1.1</v>
      </c>
      <c r="M44" t="inlineStr"/>
      <c r="O44" s="20" t="n"/>
      <c r="P44" s="13" t="n"/>
      <c r="Q44" s="13" t="n"/>
      <c r="R44" s="20" t="n"/>
      <c r="T44" s="20" t="n">
        <v>0.4218697266284172</v>
      </c>
      <c r="U44" s="13" t="n">
        <v>5228</v>
      </c>
      <c r="V44" s="20" t="n">
        <v>0.119548584544759</v>
      </c>
    </row>
    <row r="45">
      <c r="A45" s="2" t="inlineStr">
        <is>
          <t>NEWMAC</t>
        </is>
      </c>
      <c r="B45" s="2" t="n">
        <v>6</v>
      </c>
      <c r="C45" s="6" t="inlineStr">
        <is>
          <t>Springfield College</t>
        </is>
      </c>
      <c r="D45" s="19" t="n">
        <v>466.5</v>
      </c>
      <c r="E45" s="2" t="inlineStr">
        <is>
          <t>Tier 4</t>
        </is>
      </c>
      <c r="F45" s="2" t="n">
        <v>91</v>
      </c>
      <c r="G45" t="inlineStr">
        <is>
          <t>NEWMAC|Springfield College</t>
        </is>
      </c>
      <c r="H45" s="13" t="n">
        <v>1481.5</v>
      </c>
      <c r="I45" s="13" t="n">
        <v>692</v>
      </c>
      <c r="J45" s="20" t="n">
        <v>2.140895953757226</v>
      </c>
      <c r="K45" t="n">
        <v>0</v>
      </c>
      <c r="L45" s="13" t="n">
        <v>1.2</v>
      </c>
      <c r="M45" t="inlineStr"/>
      <c r="O45" s="20" t="n"/>
      <c r="P45" s="13" t="n"/>
      <c r="Q45" s="13" t="n"/>
      <c r="R45" s="20" t="n"/>
      <c r="T45" s="20" t="n">
        <v>0.3148835639554505</v>
      </c>
      <c r="U45" s="13" t="n">
        <v>5228</v>
      </c>
      <c r="V45" s="20" t="n">
        <v>0.08923106350420811</v>
      </c>
    </row>
    <row r="46">
      <c r="A46" s="2" t="inlineStr">
        <is>
          <t>NEWMAC</t>
        </is>
      </c>
      <c r="B46" s="2" t="n">
        <v>7</v>
      </c>
      <c r="C46" s="6" t="inlineStr">
        <is>
          <t>Clark University</t>
        </is>
      </c>
      <c r="D46" s="19" t="n">
        <v>219</v>
      </c>
      <c r="E46" s="2" t="inlineStr">
        <is>
          <t>Tier 4</t>
        </is>
      </c>
      <c r="F46" s="2" t="n">
        <v>91</v>
      </c>
      <c r="G46" t="inlineStr">
        <is>
          <t>NEWMAC|Clark University</t>
        </is>
      </c>
      <c r="H46" s="13" t="n">
        <v>1481.5</v>
      </c>
      <c r="I46" s="13" t="n">
        <v>692</v>
      </c>
      <c r="J46" s="20" t="n">
        <v>2.140895953757226</v>
      </c>
      <c r="K46" t="n">
        <v>0</v>
      </c>
      <c r="L46" s="13" t="n">
        <v>1.2</v>
      </c>
      <c r="M46" t="inlineStr"/>
      <c r="O46" s="20" t="n"/>
      <c r="P46" s="13" t="n"/>
      <c r="Q46" s="13" t="n"/>
      <c r="R46" s="20" t="n"/>
      <c r="T46" s="20" t="n">
        <v>0.1478231522105974</v>
      </c>
      <c r="U46" s="13" t="n">
        <v>5228</v>
      </c>
      <c r="V46" s="20" t="n">
        <v>0.04188982402448355</v>
      </c>
    </row>
    <row r="47">
      <c r="A47" s="2" t="inlineStr">
        <is>
          <t>NWC</t>
        </is>
      </c>
      <c r="B47" s="2" t="n">
        <v>1</v>
      </c>
      <c r="C47" s="6" t="inlineStr">
        <is>
          <t>Whitworth University Swim Team</t>
        </is>
      </c>
      <c r="D47" s="19" t="n">
        <v>875</v>
      </c>
      <c r="E47" s="2" t="inlineStr">
        <is>
          <t>Tier 1</t>
        </is>
      </c>
      <c r="F47" s="2" t="n">
        <v>61</v>
      </c>
      <c r="G47" t="inlineStr">
        <is>
          <t>NWC|Whitworth University Swim Team</t>
        </is>
      </c>
      <c r="H47" s="13" t="n">
        <v>875</v>
      </c>
      <c r="I47" s="13" t="n">
        <v>340</v>
      </c>
      <c r="J47" s="20" t="n">
        <v>2.573529411764706</v>
      </c>
      <c r="K47" t="n">
        <v>1</v>
      </c>
      <c r="L47" s="13" t="n">
        <v>0.7</v>
      </c>
      <c r="M47" t="inlineStr">
        <is>
          <t>Super Powerhouse</t>
        </is>
      </c>
      <c r="O47" s="20" t="n"/>
      <c r="P47" s="13" t="n"/>
      <c r="Q47" s="13" t="n"/>
      <c r="R47" s="20" t="n"/>
      <c r="T47" s="20" t="n">
        <v>1</v>
      </c>
      <c r="U47" s="13" t="n">
        <v>3195</v>
      </c>
      <c r="V47" s="20" t="n">
        <v>0.2738654147104851</v>
      </c>
    </row>
    <row r="48">
      <c r="A48" s="2" t="inlineStr">
        <is>
          <t>NWC</t>
        </is>
      </c>
      <c r="B48" s="2" t="n">
        <v>2</v>
      </c>
      <c r="C48" s="6" t="inlineStr">
        <is>
          <t>University of Puget Sound</t>
        </is>
      </c>
      <c r="D48" s="19" t="n">
        <v>509.5</v>
      </c>
      <c r="E48" s="2" t="inlineStr">
        <is>
          <t>Tier 3</t>
        </is>
      </c>
      <c r="F48" s="2" t="n">
        <v>61</v>
      </c>
      <c r="G48" t="inlineStr">
        <is>
          <t>NWC|University of Puget Sound</t>
        </is>
      </c>
      <c r="H48" s="13" t="n">
        <v>875</v>
      </c>
      <c r="I48" s="13" t="n">
        <v>340</v>
      </c>
      <c r="J48" s="20" t="n">
        <v>2.573529411764706</v>
      </c>
      <c r="K48" t="n">
        <v>0</v>
      </c>
      <c r="L48" s="13" t="n">
        <v>1.1</v>
      </c>
      <c r="M48" t="inlineStr"/>
      <c r="O48" s="20" t="n"/>
      <c r="P48" s="13" t="n"/>
      <c r="Q48" s="13" t="n"/>
      <c r="R48" s="20" t="n"/>
      <c r="T48" s="20" t="n">
        <v>0.5822857142857143</v>
      </c>
      <c r="U48" s="13" t="n">
        <v>3195</v>
      </c>
      <c r="V48" s="20" t="n">
        <v>0.1594679186228482</v>
      </c>
    </row>
    <row r="49">
      <c r="A49" s="2" t="inlineStr">
        <is>
          <t>NWC</t>
        </is>
      </c>
      <c r="B49" s="2" t="n">
        <v>3</v>
      </c>
      <c r="C49" s="6" t="inlineStr">
        <is>
          <t>Linfield University</t>
        </is>
      </c>
      <c r="D49" s="19" t="n">
        <v>394.5</v>
      </c>
      <c r="E49" s="2" t="inlineStr">
        <is>
          <t>Tier 3</t>
        </is>
      </c>
      <c r="F49" s="2" t="n">
        <v>61</v>
      </c>
      <c r="G49" t="inlineStr">
        <is>
          <t>NWC|Linfield University</t>
        </is>
      </c>
      <c r="H49" s="13" t="n">
        <v>875</v>
      </c>
      <c r="I49" s="13" t="n">
        <v>340</v>
      </c>
      <c r="J49" s="20" t="n">
        <v>2.573529411764706</v>
      </c>
      <c r="K49" t="n">
        <v>0</v>
      </c>
      <c r="L49" s="13" t="n">
        <v>1.1</v>
      </c>
      <c r="M49" t="inlineStr"/>
      <c r="O49" s="20" t="n"/>
      <c r="P49" s="13" t="n"/>
      <c r="Q49" s="13" t="n"/>
      <c r="R49" s="20" t="n"/>
      <c r="T49" s="20" t="n">
        <v>0.4508571428571428</v>
      </c>
      <c r="U49" s="13" t="n">
        <v>3195</v>
      </c>
      <c r="V49" s="20" t="n">
        <v>0.1234741784037559</v>
      </c>
    </row>
    <row r="50">
      <c r="A50" s="2" t="inlineStr">
        <is>
          <t>NWC</t>
        </is>
      </c>
      <c r="B50" s="2" t="n">
        <v>4</v>
      </c>
      <c r="C50" s="6" t="inlineStr">
        <is>
          <t>Whitman College</t>
        </is>
      </c>
      <c r="D50" s="19" t="n">
        <v>392.5</v>
      </c>
      <c r="E50" s="2" t="inlineStr">
        <is>
          <t>Tier 3</t>
        </is>
      </c>
      <c r="F50" s="2" t="n">
        <v>61</v>
      </c>
      <c r="G50" t="inlineStr">
        <is>
          <t>NWC|Whitman College</t>
        </is>
      </c>
      <c r="H50" s="13" t="n">
        <v>875</v>
      </c>
      <c r="I50" s="13" t="n">
        <v>340</v>
      </c>
      <c r="J50" s="20" t="n">
        <v>2.573529411764706</v>
      </c>
      <c r="K50" t="n">
        <v>0</v>
      </c>
      <c r="L50" s="13" t="n">
        <v>1.1</v>
      </c>
      <c r="M50" t="inlineStr"/>
      <c r="O50" s="20" t="n"/>
      <c r="P50" s="13" t="n"/>
      <c r="Q50" s="13" t="n"/>
      <c r="R50" s="20" t="n"/>
      <c r="T50" s="20" t="n">
        <v>0.4485714285714286</v>
      </c>
      <c r="U50" s="13" t="n">
        <v>3195</v>
      </c>
      <c r="V50" s="20" t="n">
        <v>0.122848200312989</v>
      </c>
    </row>
    <row r="51">
      <c r="A51" s="2" t="inlineStr">
        <is>
          <t>NWC</t>
        </is>
      </c>
      <c r="B51" s="2" t="n">
        <v>5</v>
      </c>
      <c r="C51" s="6" t="inlineStr">
        <is>
          <t>Pacific Lutheran University</t>
        </is>
      </c>
      <c r="D51" s="19" t="n">
        <v>287.5</v>
      </c>
      <c r="E51" s="2" t="inlineStr">
        <is>
          <t>Tier 4</t>
        </is>
      </c>
      <c r="F51" s="2" t="n">
        <v>61</v>
      </c>
      <c r="G51" t="inlineStr">
        <is>
          <t>NWC|Pacific Lutheran University</t>
        </is>
      </c>
      <c r="H51" s="13" t="n">
        <v>875</v>
      </c>
      <c r="I51" s="13" t="n">
        <v>340</v>
      </c>
      <c r="J51" s="20" t="n">
        <v>2.573529411764706</v>
      </c>
      <c r="K51" t="n">
        <v>0</v>
      </c>
      <c r="L51" s="13" t="n">
        <v>1.2</v>
      </c>
      <c r="M51" t="inlineStr"/>
      <c r="O51" s="20" t="n"/>
      <c r="P51" s="13" t="n"/>
      <c r="Q51" s="13" t="n"/>
      <c r="R51" s="20" t="n"/>
      <c r="T51" s="20" t="n">
        <v>0.3285714285714286</v>
      </c>
      <c r="U51" s="13" t="n">
        <v>3195</v>
      </c>
      <c r="V51" s="20" t="n">
        <v>0.08998435054773082</v>
      </c>
    </row>
    <row r="52">
      <c r="A52" s="2" t="inlineStr">
        <is>
          <t>NWC</t>
        </is>
      </c>
      <c r="B52" s="2" t="n">
        <v>6</v>
      </c>
      <c r="C52" s="6" t="inlineStr">
        <is>
          <t>Lewis &amp; Clark College</t>
        </is>
      </c>
      <c r="D52" s="19" t="n">
        <v>282</v>
      </c>
      <c r="E52" s="2" t="inlineStr">
        <is>
          <t>Tier 4</t>
        </is>
      </c>
      <c r="F52" s="2" t="n">
        <v>61</v>
      </c>
      <c r="G52" t="inlineStr">
        <is>
          <t>NWC|Lewis &amp; Clark College</t>
        </is>
      </c>
      <c r="H52" s="13" t="n">
        <v>875</v>
      </c>
      <c r="I52" s="13" t="n">
        <v>340</v>
      </c>
      <c r="J52" s="20" t="n">
        <v>2.573529411764706</v>
      </c>
      <c r="K52" t="n">
        <v>0</v>
      </c>
      <c r="L52" s="13" t="n">
        <v>1.2</v>
      </c>
      <c r="M52" t="inlineStr"/>
      <c r="O52" s="20" t="n"/>
      <c r="P52" s="13" t="n"/>
      <c r="Q52" s="13" t="n"/>
      <c r="R52" s="20" t="n"/>
      <c r="T52" s="20" t="n">
        <v>0.3222857142857143</v>
      </c>
      <c r="U52" s="13" t="n">
        <v>3195</v>
      </c>
      <c r="V52" s="20" t="n">
        <v>0.08826291079812207</v>
      </c>
    </row>
    <row r="53">
      <c r="A53" s="2" t="inlineStr">
        <is>
          <t>NWC</t>
        </is>
      </c>
      <c r="B53" s="2" t="n">
        <v>7</v>
      </c>
      <c r="C53" s="6" t="inlineStr">
        <is>
          <t>Willamette University</t>
        </is>
      </c>
      <c r="D53" s="19" t="n">
        <v>238</v>
      </c>
      <c r="E53" s="2" t="inlineStr">
        <is>
          <t>Tier 4</t>
        </is>
      </c>
      <c r="F53" s="2" t="n">
        <v>61</v>
      </c>
      <c r="G53" t="inlineStr">
        <is>
          <t>NWC|Willamette University</t>
        </is>
      </c>
      <c r="H53" s="13" t="n">
        <v>875</v>
      </c>
      <c r="I53" s="13" t="n">
        <v>340</v>
      </c>
      <c r="J53" s="20" t="n">
        <v>2.573529411764706</v>
      </c>
      <c r="K53" t="n">
        <v>0</v>
      </c>
      <c r="L53" s="13" t="n">
        <v>1.2</v>
      </c>
      <c r="M53" t="inlineStr"/>
      <c r="O53" s="20" t="n"/>
      <c r="P53" s="13" t="n"/>
      <c r="Q53" s="13" t="n"/>
      <c r="R53" s="20" t="n"/>
      <c r="T53" s="20" t="n">
        <v>0.272</v>
      </c>
      <c r="U53" s="13" t="n">
        <v>3195</v>
      </c>
      <c r="V53" s="20" t="n">
        <v>0.07449139280125196</v>
      </c>
    </row>
    <row r="54">
      <c r="A54" s="2" t="inlineStr">
        <is>
          <t>NWC</t>
        </is>
      </c>
      <c r="B54" s="2" t="n">
        <v>8</v>
      </c>
      <c r="C54" s="6" t="inlineStr">
        <is>
          <t>George Fox University</t>
        </is>
      </c>
      <c r="D54" s="19" t="n">
        <v>216</v>
      </c>
      <c r="E54" s="2" t="inlineStr">
        <is>
          <t>Tier 4</t>
        </is>
      </c>
      <c r="F54" s="2" t="n">
        <v>61</v>
      </c>
      <c r="G54" t="inlineStr">
        <is>
          <t>NWC|George Fox University</t>
        </is>
      </c>
      <c r="H54" s="13" t="n">
        <v>875</v>
      </c>
      <c r="I54" s="13" t="n">
        <v>340</v>
      </c>
      <c r="J54" s="20" t="n">
        <v>2.573529411764706</v>
      </c>
      <c r="K54" t="n">
        <v>0</v>
      </c>
      <c r="L54" s="13" t="n">
        <v>1.2</v>
      </c>
      <c r="M54" t="inlineStr"/>
      <c r="O54" s="20" t="n"/>
      <c r="P54" s="13" t="n"/>
      <c r="Q54" s="13" t="n"/>
      <c r="R54" s="20" t="n"/>
      <c r="T54" s="20" t="n">
        <v>0.2468571428571429</v>
      </c>
      <c r="U54" s="13" t="n">
        <v>3195</v>
      </c>
      <c r="V54" s="20" t="n">
        <v>0.06760563380281689</v>
      </c>
    </row>
    <row r="55">
      <c r="A55" s="2" t="inlineStr">
        <is>
          <t>SCIAC</t>
        </is>
      </c>
      <c r="B55" s="2" t="n">
        <v>1</v>
      </c>
      <c r="C55" s="6" t="inlineStr">
        <is>
          <t>Pomona-Pitzer</t>
        </is>
      </c>
      <c r="D55" s="19" t="n">
        <v>922</v>
      </c>
      <c r="E55" s="2" t="inlineStr">
        <is>
          <t>Tier 1</t>
        </is>
      </c>
      <c r="F55" s="2" t="n">
        <v>127</v>
      </c>
      <c r="G55" t="inlineStr">
        <is>
          <t>SCIAC|Pomona-Pitzer</t>
        </is>
      </c>
      <c r="H55" s="13" t="n">
        <v>922</v>
      </c>
      <c r="I55" s="13" t="n">
        <v>352.5</v>
      </c>
      <c r="J55" s="20" t="n">
        <v>2.615602836879432</v>
      </c>
      <c r="K55" t="n">
        <v>1</v>
      </c>
      <c r="L55" s="13" t="n">
        <v>0.7</v>
      </c>
      <c r="M55" t="inlineStr">
        <is>
          <t>Super Powerhouse</t>
        </is>
      </c>
      <c r="O55" s="20" t="n"/>
      <c r="P55" s="13" t="n"/>
      <c r="Q55" s="13" t="n"/>
      <c r="R55" s="20" t="n"/>
      <c r="T55" s="20" t="n">
        <v>1</v>
      </c>
      <c r="U55" s="13" t="n">
        <v>3929</v>
      </c>
      <c r="V55" s="20" t="n">
        <v>0.2346653092389921</v>
      </c>
    </row>
    <row r="56">
      <c r="A56" s="2" t="inlineStr">
        <is>
          <t>SCIAC</t>
        </is>
      </c>
      <c r="B56" s="2" t="n">
        <v>2</v>
      </c>
      <c r="C56" s="6" t="inlineStr">
        <is>
          <t>Claremont-Mudd-Scripps</t>
        </is>
      </c>
      <c r="D56" s="19" t="n">
        <v>820.5</v>
      </c>
      <c r="E56" s="2" t="inlineStr">
        <is>
          <t>Tier 1</t>
        </is>
      </c>
      <c r="F56" s="2" t="n">
        <v>127</v>
      </c>
      <c r="G56" t="inlineStr">
        <is>
          <t>SCIAC|Claremont-Mudd-Scripps</t>
        </is>
      </c>
      <c r="H56" s="13" t="n">
        <v>922</v>
      </c>
      <c r="I56" s="13" t="n">
        <v>352.5</v>
      </c>
      <c r="J56" s="20" t="n">
        <v>2.615602836879432</v>
      </c>
      <c r="K56" t="n">
        <v>0</v>
      </c>
      <c r="L56" s="13" t="n">
        <v>0.78</v>
      </c>
      <c r="M56" t="inlineStr">
        <is>
          <t>Powerhouse</t>
        </is>
      </c>
      <c r="O56" s="20" t="n"/>
      <c r="P56" s="13" t="n"/>
      <c r="Q56" s="13" t="n"/>
      <c r="R56" s="20" t="n"/>
      <c r="T56" s="20" t="n">
        <v>0.8899132321041214</v>
      </c>
      <c r="U56" s="13" t="n">
        <v>3929</v>
      </c>
      <c r="V56" s="20" t="n">
        <v>0.2088317638075846</v>
      </c>
    </row>
    <row r="57">
      <c r="A57" s="2" t="inlineStr">
        <is>
          <t>SCIAC</t>
        </is>
      </c>
      <c r="B57" s="2" t="n">
        <v>3</v>
      </c>
      <c r="C57" s="6" t="inlineStr">
        <is>
          <t>Chapman University</t>
        </is>
      </c>
      <c r="D57" s="19" t="n">
        <v>609</v>
      </c>
      <c r="E57" s="2" t="inlineStr">
        <is>
          <t>Tier 2</t>
        </is>
      </c>
      <c r="F57" s="2" t="n">
        <v>127</v>
      </c>
      <c r="G57" t="inlineStr">
        <is>
          <t>SCIAC|Chapman University</t>
        </is>
      </c>
      <c r="H57" s="13" t="n">
        <v>922</v>
      </c>
      <c r="I57" s="13" t="n">
        <v>352.5</v>
      </c>
      <c r="J57" s="20" t="n">
        <v>2.615602836879432</v>
      </c>
      <c r="K57" t="n">
        <v>0</v>
      </c>
      <c r="L57" s="13" t="n">
        <v>1</v>
      </c>
      <c r="M57" t="inlineStr"/>
      <c r="O57" s="20" t="n"/>
      <c r="P57" s="13" t="n"/>
      <c r="Q57" s="13" t="n"/>
      <c r="R57" s="20" t="n"/>
      <c r="T57" s="20" t="n">
        <v>0.6605206073752712</v>
      </c>
      <c r="U57" s="13" t="n">
        <v>3929</v>
      </c>
      <c r="V57" s="20" t="n">
        <v>0.1550012725884449</v>
      </c>
    </row>
    <row r="58">
      <c r="A58" s="2" t="inlineStr">
        <is>
          <t>SCIAC</t>
        </is>
      </c>
      <c r="B58" s="2" t="n">
        <v>4</v>
      </c>
      <c r="C58" s="6" t="inlineStr">
        <is>
          <t>California Institute of Techno</t>
        </is>
      </c>
      <c r="D58" s="19" t="n">
        <v>429</v>
      </c>
      <c r="E58" s="2" t="inlineStr">
        <is>
          <t>Tier 3</t>
        </is>
      </c>
      <c r="F58" s="2" t="n">
        <v>127</v>
      </c>
      <c r="G58" t="inlineStr">
        <is>
          <t>SCIAC|California Institute of Techno</t>
        </is>
      </c>
      <c r="H58" s="13" t="n">
        <v>922</v>
      </c>
      <c r="I58" s="13" t="n">
        <v>352.5</v>
      </c>
      <c r="J58" s="20" t="n">
        <v>2.615602836879432</v>
      </c>
      <c r="K58" t="n">
        <v>0</v>
      </c>
      <c r="L58" s="13" t="n">
        <v>1.1</v>
      </c>
      <c r="M58" t="inlineStr"/>
      <c r="O58" s="20" t="n"/>
      <c r="P58" s="13" t="n"/>
      <c r="Q58" s="13" t="n"/>
      <c r="R58" s="20" t="n"/>
      <c r="T58" s="20" t="n">
        <v>0.46529284164859</v>
      </c>
      <c r="U58" s="13" t="n">
        <v>3929</v>
      </c>
      <c r="V58" s="20" t="n">
        <v>0.1091880885721558</v>
      </c>
    </row>
    <row r="59">
      <c r="A59" s="2" t="inlineStr">
        <is>
          <t>SCIAC</t>
        </is>
      </c>
      <c r="B59" s="2" t="n">
        <v>5</v>
      </c>
      <c r="C59" s="6" t="inlineStr">
        <is>
          <t>Whittier College</t>
        </is>
      </c>
      <c r="D59" s="19" t="n">
        <v>352.5</v>
      </c>
      <c r="E59" s="2" t="inlineStr">
        <is>
          <t>Tier 3</t>
        </is>
      </c>
      <c r="F59" s="2" t="n">
        <v>127</v>
      </c>
      <c r="G59" t="inlineStr">
        <is>
          <t>SCIAC|Whittier College</t>
        </is>
      </c>
      <c r="H59" s="13" t="n">
        <v>922</v>
      </c>
      <c r="I59" s="13" t="n">
        <v>352.5</v>
      </c>
      <c r="J59" s="20" t="n">
        <v>2.615602836879432</v>
      </c>
      <c r="K59" t="n">
        <v>0</v>
      </c>
      <c r="L59" s="13" t="n">
        <v>1.1</v>
      </c>
      <c r="M59" t="inlineStr"/>
      <c r="O59" s="20" t="n"/>
      <c r="P59" s="13" t="n"/>
      <c r="Q59" s="13" t="n"/>
      <c r="R59" s="20" t="n"/>
      <c r="T59" s="20" t="n">
        <v>0.3823210412147505</v>
      </c>
      <c r="U59" s="13" t="n">
        <v>3929</v>
      </c>
      <c r="V59" s="20" t="n">
        <v>0.08971748536523289</v>
      </c>
    </row>
    <row r="60">
      <c r="A60" s="2" t="inlineStr">
        <is>
          <t>SCIAC</t>
        </is>
      </c>
      <c r="B60" s="2" t="n">
        <v>6</v>
      </c>
      <c r="C60" s="6" t="inlineStr">
        <is>
          <t>Cal Lutheran University</t>
        </is>
      </c>
      <c r="D60" s="19" t="n">
        <v>320</v>
      </c>
      <c r="E60" s="2" t="inlineStr">
        <is>
          <t>Tier 4</t>
        </is>
      </c>
      <c r="F60" s="2" t="n">
        <v>127</v>
      </c>
      <c r="G60" t="inlineStr">
        <is>
          <t>SCIAC|Cal Lutheran University</t>
        </is>
      </c>
      <c r="H60" s="13" t="n">
        <v>922</v>
      </c>
      <c r="I60" s="13" t="n">
        <v>352.5</v>
      </c>
      <c r="J60" s="20" t="n">
        <v>2.615602836879432</v>
      </c>
      <c r="K60" t="n">
        <v>0</v>
      </c>
      <c r="L60" s="13" t="n">
        <v>1.2</v>
      </c>
      <c r="M60" t="inlineStr"/>
      <c r="O60" s="20" t="n"/>
      <c r="P60" s="13" t="n"/>
      <c r="Q60" s="13" t="n"/>
      <c r="R60" s="20" t="n"/>
      <c r="T60" s="20" t="n">
        <v>0.3470715835140998</v>
      </c>
      <c r="U60" s="13" t="n">
        <v>3929</v>
      </c>
      <c r="V60" s="20" t="n">
        <v>0.0814456604734029</v>
      </c>
    </row>
    <row r="61">
      <c r="A61" s="2" t="inlineStr">
        <is>
          <t>SCIAC</t>
        </is>
      </c>
      <c r="B61" s="2" t="n">
        <v>7</v>
      </c>
      <c r="C61" s="6" t="inlineStr">
        <is>
          <t>Occidental College</t>
        </is>
      </c>
      <c r="D61" s="19" t="n">
        <v>214</v>
      </c>
      <c r="E61" s="2" t="inlineStr">
        <is>
          <t>Tier 4</t>
        </is>
      </c>
      <c r="F61" s="2" t="n">
        <v>127</v>
      </c>
      <c r="G61" t="inlineStr">
        <is>
          <t>SCIAC|Occidental College</t>
        </is>
      </c>
      <c r="H61" s="13" t="n">
        <v>922</v>
      </c>
      <c r="I61" s="13" t="n">
        <v>352.5</v>
      </c>
      <c r="J61" s="20" t="n">
        <v>2.615602836879432</v>
      </c>
      <c r="K61" t="n">
        <v>0</v>
      </c>
      <c r="L61" s="13" t="n">
        <v>1.2</v>
      </c>
      <c r="M61" t="inlineStr"/>
      <c r="O61" s="20" t="n"/>
      <c r="P61" s="13" t="n"/>
      <c r="Q61" s="13" t="n"/>
      <c r="R61" s="20" t="n"/>
      <c r="T61" s="20" t="n">
        <v>0.2321041214750542</v>
      </c>
      <c r="U61" s="13" t="n">
        <v>3929</v>
      </c>
      <c r="V61" s="20" t="n">
        <v>0.05446678544158819</v>
      </c>
    </row>
    <row r="62">
      <c r="A62" s="2" t="inlineStr">
        <is>
          <t>SCIAC</t>
        </is>
      </c>
      <c r="B62" s="2" t="n">
        <v>8</v>
      </c>
      <c r="C62" s="6" t="inlineStr">
        <is>
          <t>University of Redlands</t>
        </is>
      </c>
      <c r="D62" s="19" t="n">
        <v>187</v>
      </c>
      <c r="E62" s="2" t="inlineStr">
        <is>
          <t>Tier 4</t>
        </is>
      </c>
      <c r="F62" s="2" t="n">
        <v>127</v>
      </c>
      <c r="G62" t="inlineStr">
        <is>
          <t>SCIAC|University of Redlands</t>
        </is>
      </c>
      <c r="H62" s="13" t="n">
        <v>922</v>
      </c>
      <c r="I62" s="13" t="n">
        <v>352.5</v>
      </c>
      <c r="J62" s="20" t="n">
        <v>2.615602836879432</v>
      </c>
      <c r="K62" t="n">
        <v>0</v>
      </c>
      <c r="L62" s="13" t="n">
        <v>1.2</v>
      </c>
      <c r="M62" t="inlineStr"/>
      <c r="O62" s="20" t="n"/>
      <c r="P62" s="13" t="n"/>
      <c r="Q62" s="13" t="n"/>
      <c r="R62" s="20" t="n"/>
      <c r="T62" s="20" t="n">
        <v>0.2028199566160521</v>
      </c>
      <c r="U62" s="13" t="n">
        <v>3929</v>
      </c>
      <c r="V62" s="20" t="n">
        <v>0.04759480783914482</v>
      </c>
    </row>
    <row r="63">
      <c r="A63" s="2" t="inlineStr">
        <is>
          <t>SCIAC</t>
        </is>
      </c>
      <c r="B63" s="2" t="n">
        <v>9</v>
      </c>
      <c r="C63" s="6" t="inlineStr">
        <is>
          <t>University of La Verne</t>
        </is>
      </c>
      <c r="D63" s="19" t="n">
        <v>75</v>
      </c>
      <c r="E63" s="2" t="inlineStr">
        <is>
          <t>Tier 4</t>
        </is>
      </c>
      <c r="F63" s="2" t="n">
        <v>127</v>
      </c>
      <c r="G63" t="inlineStr">
        <is>
          <t>SCIAC|University of La Verne</t>
        </is>
      </c>
      <c r="H63" s="13" t="n">
        <v>922</v>
      </c>
      <c r="I63" s="13" t="n">
        <v>352.5</v>
      </c>
      <c r="J63" s="20" t="n">
        <v>2.615602836879432</v>
      </c>
      <c r="K63" t="n">
        <v>0</v>
      </c>
      <c r="L63" s="13" t="n">
        <v>1.2</v>
      </c>
      <c r="M63" t="inlineStr"/>
      <c r="O63" s="20" t="n"/>
      <c r="P63" s="13" t="n"/>
      <c r="Q63" s="13" t="n"/>
      <c r="R63" s="20" t="n"/>
      <c r="T63" s="20" t="n">
        <v>0.08134490238611713</v>
      </c>
      <c r="U63" s="13" t="n">
        <v>3929</v>
      </c>
      <c r="V63" s="20" t="n">
        <v>0.01908882667345381</v>
      </c>
    </row>
    <row r="64">
      <c r="A64" s="2" t="inlineStr">
        <is>
          <t>UAA</t>
        </is>
      </c>
      <c r="B64" s="2" t="n">
        <v>1</v>
      </c>
      <c r="C64" s="6" t="inlineStr">
        <is>
          <t>Emory</t>
        </is>
      </c>
      <c r="D64" s="19" t="n">
        <v>1753.5</v>
      </c>
      <c r="E64" s="2" t="inlineStr">
        <is>
          <t>Tier 1</t>
        </is>
      </c>
      <c r="F64" s="2" t="inlineStr">
        <is>
          <t>manual</t>
        </is>
      </c>
      <c r="G64" t="inlineStr">
        <is>
          <t>UAA|Emory</t>
        </is>
      </c>
      <c r="H64" s="13" t="n">
        <v>1753.5</v>
      </c>
      <c r="I64" s="13" t="n">
        <v>1057.75</v>
      </c>
      <c r="J64" s="20" t="n">
        <v>1.657764121956984</v>
      </c>
      <c r="K64" t="n">
        <v>1</v>
      </c>
      <c r="L64" s="13" t="n">
        <v>0.78</v>
      </c>
      <c r="M64" t="inlineStr">
        <is>
          <t>Powerhouse</t>
        </is>
      </c>
      <c r="O64" s="20" t="n"/>
      <c r="P64" s="13" t="n"/>
      <c r="Q64" s="13" t="n"/>
      <c r="R64" s="20" t="n"/>
      <c r="T64" s="20" t="n">
        <v>1</v>
      </c>
      <c r="U64" s="13" t="n">
        <v>8543</v>
      </c>
      <c r="V64" s="20" t="n">
        <v>0.2052557649537633</v>
      </c>
    </row>
    <row r="65">
      <c r="A65" s="2" t="inlineStr">
        <is>
          <t>UAA</t>
        </is>
      </c>
      <c r="B65" s="2" t="n">
        <v>2</v>
      </c>
      <c r="C65" s="6" t="inlineStr">
        <is>
          <t>NYU</t>
        </is>
      </c>
      <c r="D65" s="19" t="n">
        <v>1626</v>
      </c>
      <c r="E65" s="2" t="inlineStr">
        <is>
          <t>Tier 1</t>
        </is>
      </c>
      <c r="F65" s="2" t="inlineStr">
        <is>
          <t>manual</t>
        </is>
      </c>
      <c r="G65" t="inlineStr">
        <is>
          <t>UAA|NYU</t>
        </is>
      </c>
      <c r="H65" s="13" t="n">
        <v>1753.5</v>
      </c>
      <c r="I65" s="13" t="n">
        <v>1057.75</v>
      </c>
      <c r="J65" s="20" t="n">
        <v>1.657764121956984</v>
      </c>
      <c r="K65" t="n">
        <v>0</v>
      </c>
      <c r="L65" s="13" t="n">
        <v>0.78</v>
      </c>
      <c r="M65" t="inlineStr">
        <is>
          <t>Powerhouse</t>
        </is>
      </c>
      <c r="O65" s="20" t="n"/>
      <c r="P65" s="13" t="n"/>
      <c r="Q65" s="13" t="n"/>
      <c r="R65" s="20" t="n"/>
      <c r="T65" s="20" t="n">
        <v>0.9272882805816938</v>
      </c>
      <c r="U65" s="13" t="n">
        <v>8543</v>
      </c>
      <c r="V65" s="20" t="n">
        <v>0.1903312653634555</v>
      </c>
    </row>
    <row r="66">
      <c r="A66" s="2" t="inlineStr">
        <is>
          <t>UAA</t>
        </is>
      </c>
      <c r="B66" s="2" t="n">
        <v>3</v>
      </c>
      <c r="C66" s="6" t="inlineStr">
        <is>
          <t>Chicago</t>
        </is>
      </c>
      <c r="D66" s="19" t="n">
        <v>1399</v>
      </c>
      <c r="E66" s="2" t="inlineStr">
        <is>
          <t>Tier 2</t>
        </is>
      </c>
      <c r="F66" s="2" t="inlineStr">
        <is>
          <t>manual</t>
        </is>
      </c>
      <c r="G66" t="inlineStr">
        <is>
          <t>UAA|Chicago</t>
        </is>
      </c>
      <c r="H66" s="13" t="n">
        <v>1753.5</v>
      </c>
      <c r="I66" s="13" t="n">
        <v>1057.75</v>
      </c>
      <c r="J66" s="20" t="n">
        <v>1.657764121956984</v>
      </c>
      <c r="K66" t="n">
        <v>0</v>
      </c>
      <c r="L66" s="13" t="n">
        <v>1</v>
      </c>
      <c r="M66" t="inlineStr"/>
      <c r="O66" s="20" t="n"/>
      <c r="P66" s="13" t="n"/>
      <c r="Q66" s="13" t="n"/>
      <c r="R66" s="20" t="n"/>
      <c r="T66" s="20" t="n">
        <v>0.7978329056173368</v>
      </c>
      <c r="U66" s="13" t="n">
        <v>8543</v>
      </c>
      <c r="V66" s="20" t="n">
        <v>0.1637598033477701</v>
      </c>
    </row>
    <row r="67">
      <c r="A67" s="2" t="inlineStr">
        <is>
          <t>UAA</t>
        </is>
      </c>
      <c r="B67" s="2" t="n">
        <v>4</v>
      </c>
      <c r="C67" s="6" t="inlineStr">
        <is>
          <t>Washington (Mo)</t>
        </is>
      </c>
      <c r="D67" s="19" t="n">
        <v>1067</v>
      </c>
      <c r="E67" s="2" t="inlineStr">
        <is>
          <t>Tier 2</t>
        </is>
      </c>
      <c r="F67" s="2" t="inlineStr">
        <is>
          <t>manual</t>
        </is>
      </c>
      <c r="G67" t="inlineStr">
        <is>
          <t>UAA|Washington (Mo)</t>
        </is>
      </c>
      <c r="H67" s="13" t="n">
        <v>1753.5</v>
      </c>
      <c r="I67" s="13" t="n">
        <v>1057.75</v>
      </c>
      <c r="J67" s="20" t="n">
        <v>1.657764121956984</v>
      </c>
      <c r="K67" t="n">
        <v>0</v>
      </c>
      <c r="L67" s="13" t="n">
        <v>1</v>
      </c>
      <c r="M67" t="inlineStr"/>
      <c r="O67" s="20" t="n"/>
      <c r="P67" s="13" t="n"/>
      <c r="Q67" s="13" t="n"/>
      <c r="R67" s="20" t="n"/>
      <c r="T67" s="20" t="n">
        <v>0.6084972911320217</v>
      </c>
      <c r="U67" s="13" t="n">
        <v>8543</v>
      </c>
      <c r="V67" s="20" t="n">
        <v>0.1248975769635959</v>
      </c>
    </row>
    <row r="68">
      <c r="A68" s="2" t="inlineStr">
        <is>
          <t>UAA</t>
        </is>
      </c>
      <c r="B68" s="2" t="n">
        <v>5</v>
      </c>
      <c r="C68" s="6" t="inlineStr">
        <is>
          <t>Carnegie Mellon</t>
        </is>
      </c>
      <c r="D68" s="19" t="n">
        <v>1048.5</v>
      </c>
      <c r="E68" s="2" t="inlineStr">
        <is>
          <t>Tier 3</t>
        </is>
      </c>
      <c r="F68" s="2" t="inlineStr">
        <is>
          <t>manual</t>
        </is>
      </c>
      <c r="G68" t="inlineStr">
        <is>
          <t>UAA|Carnegie Mellon</t>
        </is>
      </c>
      <c r="H68" s="13" t="n">
        <v>1753.5</v>
      </c>
      <c r="I68" s="13" t="n">
        <v>1057.75</v>
      </c>
      <c r="J68" s="20" t="n">
        <v>1.657764121956984</v>
      </c>
      <c r="K68" t="n">
        <v>0</v>
      </c>
      <c r="L68" s="13" t="n">
        <v>1.1</v>
      </c>
      <c r="M68" t="inlineStr"/>
      <c r="O68" s="20" t="n"/>
      <c r="P68" s="13" t="n"/>
      <c r="Q68" s="13" t="n"/>
      <c r="R68" s="20" t="n"/>
      <c r="T68" s="20" t="n">
        <v>0.5979469632164243</v>
      </c>
      <c r="U68" s="13" t="n">
        <v>8543</v>
      </c>
      <c r="V68" s="20" t="n">
        <v>0.1227320613367669</v>
      </c>
    </row>
    <row r="69">
      <c r="A69" s="2" t="inlineStr">
        <is>
          <t>UAA</t>
        </is>
      </c>
      <c r="B69" s="2" t="n">
        <v>6</v>
      </c>
      <c r="C69" s="6" t="inlineStr">
        <is>
          <t>Case Western</t>
        </is>
      </c>
      <c r="D69" s="19" t="n">
        <v>784</v>
      </c>
      <c r="E69" s="2" t="inlineStr">
        <is>
          <t>Tier 3</t>
        </is>
      </c>
      <c r="F69" s="2" t="inlineStr">
        <is>
          <t>manual</t>
        </is>
      </c>
      <c r="G69" t="inlineStr">
        <is>
          <t>UAA|Case Western</t>
        </is>
      </c>
      <c r="H69" s="13" t="n">
        <v>1753.5</v>
      </c>
      <c r="I69" s="13" t="n">
        <v>1057.75</v>
      </c>
      <c r="J69" s="20" t="n">
        <v>1.657764121956984</v>
      </c>
      <c r="K69" t="n">
        <v>0</v>
      </c>
      <c r="L69" s="13" t="n">
        <v>1.1</v>
      </c>
      <c r="M69" t="inlineStr"/>
      <c r="O69" s="20" t="n"/>
      <c r="P69" s="13" t="n"/>
      <c r="Q69" s="13" t="n"/>
      <c r="R69" s="20" t="n"/>
      <c r="T69" s="20" t="n">
        <v>0.4471057884231537</v>
      </c>
      <c r="U69" s="13" t="n">
        <v>8543</v>
      </c>
      <c r="V69" s="20" t="n">
        <v>0.09177104061804986</v>
      </c>
    </row>
    <row r="70">
      <c r="A70" s="2" t="inlineStr">
        <is>
          <t>UAA</t>
        </is>
      </c>
      <c r="B70" s="2" t="n">
        <v>7</v>
      </c>
      <c r="C70" s="6" t="inlineStr">
        <is>
          <t>Rochester</t>
        </is>
      </c>
      <c r="D70" s="19" t="n">
        <v>520</v>
      </c>
      <c r="E70" s="2" t="inlineStr">
        <is>
          <t>Tier 4</t>
        </is>
      </c>
      <c r="F70" s="2" t="inlineStr">
        <is>
          <t>manual</t>
        </is>
      </c>
      <c r="G70" t="inlineStr">
        <is>
          <t>UAA|Rochester</t>
        </is>
      </c>
      <c r="H70" s="13" t="n">
        <v>1753.5</v>
      </c>
      <c r="I70" s="13" t="n">
        <v>1057.75</v>
      </c>
      <c r="J70" s="20" t="n">
        <v>1.657764121956984</v>
      </c>
      <c r="K70" t="n">
        <v>0</v>
      </c>
      <c r="L70" s="13" t="n">
        <v>1.2</v>
      </c>
      <c r="M70" t="inlineStr"/>
      <c r="O70" s="20" t="n"/>
      <c r="P70" s="13" t="n"/>
      <c r="Q70" s="13" t="n"/>
      <c r="R70" s="20" t="n"/>
      <c r="T70" s="20" t="n">
        <v>0.2965497576276019</v>
      </c>
      <c r="U70" s="13" t="n">
        <v>8543</v>
      </c>
      <c r="V70" s="20" t="n">
        <v>0.06086854734870654</v>
      </c>
    </row>
    <row r="71">
      <c r="A71" s="2" t="inlineStr">
        <is>
          <t>UAA</t>
        </is>
      </c>
      <c r="B71" s="2" t="n">
        <v>8</v>
      </c>
      <c r="C71" s="6" t="inlineStr">
        <is>
          <t>Brandeis</t>
        </is>
      </c>
      <c r="D71" s="19" t="n">
        <v>345</v>
      </c>
      <c r="E71" s="2" t="inlineStr">
        <is>
          <t>Tier 4</t>
        </is>
      </c>
      <c r="F71" s="2" t="inlineStr">
        <is>
          <t>manual</t>
        </is>
      </c>
      <c r="G71" t="inlineStr">
        <is>
          <t>UAA|Brandeis</t>
        </is>
      </c>
      <c r="H71" s="13" t="n">
        <v>1753.5</v>
      </c>
      <c r="I71" s="13" t="n">
        <v>1057.75</v>
      </c>
      <c r="J71" s="20" t="n">
        <v>1.657764121956984</v>
      </c>
      <c r="K71" t="n">
        <v>0</v>
      </c>
      <c r="L71" s="13" t="n">
        <v>1.2</v>
      </c>
      <c r="M71" t="inlineStr"/>
      <c r="O71" s="20" t="n"/>
      <c r="P71" s="13" t="n"/>
      <c r="Q71" s="13" t="n"/>
      <c r="R71" s="20" t="n"/>
      <c r="T71" s="20" t="n">
        <v>0.1967493584260051</v>
      </c>
      <c r="U71" s="13" t="n">
        <v>8543</v>
      </c>
      <c r="V71" s="20" t="n">
        <v>0.04038394006789184</v>
      </c>
    </row>
    <row r="72">
      <c r="A72" s="2" t="inlineStr">
        <is>
          <t>MIAC</t>
        </is>
      </c>
      <c r="B72" s="2" t="n">
        <v>1</v>
      </c>
      <c r="C72" s="6" t="inlineStr">
        <is>
          <t>Gustavus Adolphus College</t>
        </is>
      </c>
      <c r="D72" s="19" t="n">
        <v>953</v>
      </c>
      <c r="E72" s="2" t="inlineStr">
        <is>
          <t>Tier 1</t>
        </is>
      </c>
      <c r="F72" s="2" t="inlineStr">
        <is>
          <t>manual</t>
        </is>
      </c>
      <c r="G72" t="inlineStr">
        <is>
          <t>MIAC|Gustavus Adolphus College</t>
        </is>
      </c>
      <c r="H72" s="13" t="n">
        <v>953</v>
      </c>
      <c r="I72" s="13" t="n">
        <v>510.75</v>
      </c>
      <c r="J72" s="20" t="n">
        <v>1.865883504650024</v>
      </c>
      <c r="K72" t="n">
        <v>1</v>
      </c>
      <c r="L72" s="13" t="n">
        <v>0.7</v>
      </c>
      <c r="M72" t="inlineStr">
        <is>
          <t>Super Powerhouse</t>
        </is>
      </c>
      <c r="O72" s="20" t="n"/>
      <c r="P72" s="13" t="n"/>
      <c r="Q72" s="13" t="n"/>
      <c r="R72" s="20" t="n"/>
      <c r="T72" s="20" t="n">
        <v>1</v>
      </c>
      <c r="U72" s="13" t="n">
        <v>3210</v>
      </c>
      <c r="V72" s="20" t="n">
        <v>0.2968847352024922</v>
      </c>
    </row>
    <row r="73">
      <c r="A73" s="2" t="inlineStr">
        <is>
          <t>MIAC</t>
        </is>
      </c>
      <c r="B73" s="2" t="n">
        <v>2</v>
      </c>
      <c r="C73" s="6" t="inlineStr">
        <is>
          <t>Carleton College</t>
        </is>
      </c>
      <c r="D73" s="19" t="n">
        <v>628.5</v>
      </c>
      <c r="E73" s="2" t="inlineStr">
        <is>
          <t>Tier 2</t>
        </is>
      </c>
      <c r="F73" s="2" t="inlineStr">
        <is>
          <t>manual</t>
        </is>
      </c>
      <c r="G73" t="inlineStr">
        <is>
          <t>MIAC|Carleton College</t>
        </is>
      </c>
      <c r="H73" s="13" t="n">
        <v>953</v>
      </c>
      <c r="I73" s="13" t="n">
        <v>510.75</v>
      </c>
      <c r="J73" s="20" t="n">
        <v>1.865883504650024</v>
      </c>
      <c r="K73" t="n">
        <v>0</v>
      </c>
      <c r="L73" s="13" t="n">
        <v>1</v>
      </c>
      <c r="M73" t="inlineStr"/>
      <c r="O73" s="20" t="n"/>
      <c r="P73" s="13" t="n"/>
      <c r="Q73" s="13" t="n"/>
      <c r="R73" s="20" t="n"/>
      <c r="T73" s="20" t="n">
        <v>0.6594963273871983</v>
      </c>
      <c r="U73" s="13" t="n">
        <v>3210</v>
      </c>
      <c r="V73" s="20" t="n">
        <v>0.1957943925233645</v>
      </c>
    </row>
    <row r="74">
      <c r="A74" s="2" t="inlineStr">
        <is>
          <t>MIAC</t>
        </is>
      </c>
      <c r="B74" s="2" t="n">
        <v>3</v>
      </c>
      <c r="C74" s="6" t="inlineStr">
        <is>
          <t>Saint Johns University</t>
        </is>
      </c>
      <c r="D74" s="19" t="n">
        <v>524</v>
      </c>
      <c r="E74" s="2" t="inlineStr">
        <is>
          <t>Tier 3</t>
        </is>
      </c>
      <c r="F74" s="2" t="inlineStr">
        <is>
          <t>manual</t>
        </is>
      </c>
      <c r="G74" t="inlineStr">
        <is>
          <t>MIAC|Saint Johns University</t>
        </is>
      </c>
      <c r="H74" s="13" t="n">
        <v>953</v>
      </c>
      <c r="I74" s="13" t="n">
        <v>510.75</v>
      </c>
      <c r="J74" s="20" t="n">
        <v>1.865883504650024</v>
      </c>
      <c r="K74" t="n">
        <v>0</v>
      </c>
      <c r="L74" s="13" t="n">
        <v>1.1</v>
      </c>
      <c r="M74" t="inlineStr"/>
      <c r="O74" s="20" t="n"/>
      <c r="P74" s="13" t="n"/>
      <c r="Q74" s="13" t="n"/>
      <c r="R74" s="20" t="n"/>
      <c r="T74" s="20" t="n">
        <v>0.5498426023084995</v>
      </c>
      <c r="U74" s="13" t="n">
        <v>3210</v>
      </c>
      <c r="V74" s="20" t="n">
        <v>0.1632398753894081</v>
      </c>
    </row>
    <row r="75">
      <c r="A75" s="2" t="inlineStr">
        <is>
          <t>MIAC</t>
        </is>
      </c>
      <c r="B75" s="2" t="n">
        <v>4</v>
      </c>
      <c r="C75" s="6" t="inlineStr">
        <is>
          <t>Macalester College</t>
        </is>
      </c>
      <c r="D75" s="19" t="n">
        <v>497.5</v>
      </c>
      <c r="E75" s="2" t="inlineStr">
        <is>
          <t>Tier 3</t>
        </is>
      </c>
      <c r="F75" s="2" t="inlineStr">
        <is>
          <t>manual</t>
        </is>
      </c>
      <c r="G75" t="inlineStr">
        <is>
          <t>MIAC|Macalester College</t>
        </is>
      </c>
      <c r="H75" s="13" t="n">
        <v>953</v>
      </c>
      <c r="I75" s="13" t="n">
        <v>510.75</v>
      </c>
      <c r="J75" s="20" t="n">
        <v>1.865883504650024</v>
      </c>
      <c r="K75" t="n">
        <v>0</v>
      </c>
      <c r="L75" s="13" t="n">
        <v>1.1</v>
      </c>
      <c r="M75" t="inlineStr"/>
      <c r="O75" s="20" t="n"/>
      <c r="P75" s="13" t="n"/>
      <c r="Q75" s="13" t="n"/>
      <c r="R75" s="20" t="n"/>
      <c r="T75" s="20" t="n">
        <v>0.5220356768100735</v>
      </c>
      <c r="U75" s="13" t="n">
        <v>3210</v>
      </c>
      <c r="V75" s="20" t="n">
        <v>0.1549844236760125</v>
      </c>
    </row>
    <row r="76">
      <c r="A76" s="2" t="inlineStr">
        <is>
          <t>MIAC</t>
        </is>
      </c>
      <c r="B76" s="2" t="n">
        <v>5</v>
      </c>
      <c r="C76" s="6" t="inlineStr">
        <is>
          <t>Saint Olaf College</t>
        </is>
      </c>
      <c r="D76" s="19" t="n">
        <v>426</v>
      </c>
      <c r="E76" s="2" t="inlineStr">
        <is>
          <t>Tier 3</t>
        </is>
      </c>
      <c r="F76" s="2" t="inlineStr">
        <is>
          <t>manual</t>
        </is>
      </c>
      <c r="G76" t="inlineStr">
        <is>
          <t>MIAC|Saint Olaf College</t>
        </is>
      </c>
      <c r="H76" s="13" t="n">
        <v>953</v>
      </c>
      <c r="I76" s="13" t="n">
        <v>510.75</v>
      </c>
      <c r="J76" s="20" t="n">
        <v>1.865883504650024</v>
      </c>
      <c r="K76" t="n">
        <v>0</v>
      </c>
      <c r="L76" s="13" t="n">
        <v>1.1</v>
      </c>
      <c r="M76" t="inlineStr"/>
      <c r="O76" s="20" t="n"/>
      <c r="P76" s="13" t="n"/>
      <c r="Q76" s="13" t="n"/>
      <c r="R76" s="20" t="n"/>
      <c r="T76" s="20" t="n">
        <v>0.4470094438614901</v>
      </c>
      <c r="U76" s="13" t="n">
        <v>3210</v>
      </c>
      <c r="V76" s="20" t="n">
        <v>0.1327102803738318</v>
      </c>
    </row>
    <row r="77">
      <c r="A77" s="2" t="inlineStr">
        <is>
          <t>MIAC</t>
        </is>
      </c>
      <c r="B77" s="2" t="n">
        <v>6</v>
      </c>
      <c r="C77" s="6" t="inlineStr">
        <is>
          <t>Hamline University</t>
        </is>
      </c>
      <c r="D77" s="19" t="n">
        <v>181</v>
      </c>
      <c r="E77" s="2" t="inlineStr">
        <is>
          <t>Tier 4</t>
        </is>
      </c>
      <c r="F77" s="2" t="inlineStr">
        <is>
          <t>manual</t>
        </is>
      </c>
      <c r="G77" t="inlineStr">
        <is>
          <t>MIAC|Hamline University</t>
        </is>
      </c>
      <c r="H77" s="13" t="n">
        <v>953</v>
      </c>
      <c r="I77" s="13" t="n">
        <v>510.75</v>
      </c>
      <c r="J77" s="20" t="n">
        <v>1.865883504650024</v>
      </c>
      <c r="K77" t="n">
        <v>0</v>
      </c>
      <c r="L77" s="13" t="n">
        <v>1.2</v>
      </c>
      <c r="M77" t="inlineStr"/>
      <c r="O77" s="20" t="n"/>
      <c r="P77" s="13" t="n"/>
      <c r="Q77" s="13" t="n"/>
      <c r="R77" s="20" t="n"/>
      <c r="T77" s="20" t="n">
        <v>0.1899265477439664</v>
      </c>
      <c r="U77" s="13" t="n">
        <v>3210</v>
      </c>
      <c r="V77" s="20" t="n">
        <v>0.05638629283489097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2026-03-05T17:02:03Z</dcterms:created>
  <dcterms:modified xmlns:dcterms="http://purl.org/dc/terms/" xmlns:xsi="http://www.w3.org/2001/XMLSchema-instance" xsi:type="dcterms:W3CDTF">2026-03-12T22:51:49Z</dcterms:modified>
</cp:coreProperties>
</file>